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rezetta.brown\Box\Frezetta Brown\A files\FY26\542983 Pest Control\MITN\"/>
    </mc:Choice>
  </mc:AlternateContent>
  <xr:revisionPtr revIDLastSave="0" documentId="13_ncr:1_{AA8316B4-29BD-454E-AD28-3C862B9BD18B}" xr6:coauthVersionLast="47" xr6:coauthVersionMax="47" xr10:uidLastSave="{00000000-0000-0000-0000-000000000000}"/>
  <bookViews>
    <workbookView xWindow="-28920" yWindow="90" windowWidth="29040" windowHeight="15720" xr2:uid="{00000000-000D-0000-FFFF-FFFF00000000}"/>
  </bookViews>
  <sheets>
    <sheet name="Price Form" sheetId="2" r:id="rId1"/>
    <sheet name="Employee-Vehicle List" sheetId="3" r:id="rId2"/>
  </sheets>
  <definedNames>
    <definedName name="_xlnm.Print_Area" localSheetId="0">'Price Form'!$B$2:$O$30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2" l="1"/>
  <c r="G46" i="2"/>
  <c r="H14" i="2"/>
  <c r="H11" i="2"/>
  <c r="F45" i="2" s="1"/>
  <c r="E14" i="2"/>
  <c r="H30" i="2"/>
  <c r="H27" i="2"/>
  <c r="F46" i="2" s="1"/>
  <c r="I25" i="2"/>
  <c r="J25" i="2"/>
  <c r="K25" i="2"/>
  <c r="I26" i="2"/>
  <c r="J26" i="2"/>
  <c r="K26" i="2"/>
  <c r="K24" i="2"/>
  <c r="J24" i="2"/>
  <c r="I24" i="2"/>
  <c r="I9" i="2"/>
  <c r="J9" i="2"/>
  <c r="K9" i="2"/>
  <c r="I10" i="2"/>
  <c r="J10" i="2"/>
  <c r="K10" i="2"/>
  <c r="I8" i="2"/>
  <c r="K8" i="2"/>
  <c r="J8" i="2"/>
  <c r="F41" i="2"/>
  <c r="F47" i="2" s="1"/>
  <c r="J30" i="2" l="1"/>
  <c r="I30" i="2"/>
  <c r="K30" i="2"/>
  <c r="G48" i="2"/>
  <c r="J11" i="2"/>
  <c r="I45" i="2" s="1"/>
  <c r="I11" i="2"/>
  <c r="H45" i="2" s="1"/>
  <c r="K11" i="2"/>
  <c r="J45" i="2" s="1"/>
  <c r="F48" i="2"/>
  <c r="I14" i="2"/>
  <c r="J14" i="2"/>
  <c r="K14" i="2"/>
  <c r="K27" i="2"/>
  <c r="J46" i="2" s="1"/>
  <c r="J27" i="2"/>
  <c r="I46" i="2" s="1"/>
  <c r="I27" i="2"/>
  <c r="H46" i="2" s="1"/>
  <c r="E30" i="2"/>
  <c r="F49" i="2" l="1"/>
  <c r="J48" i="2"/>
  <c r="H48" i="2"/>
  <c r="I48" i="2"/>
</calcChain>
</file>

<file path=xl/sharedStrings.xml><?xml version="1.0" encoding="utf-8"?>
<sst xmlns="http://schemas.openxmlformats.org/spreadsheetml/2006/main" count="108" uniqueCount="79">
  <si>
    <t>Price</t>
  </si>
  <si>
    <t>Monthly</t>
  </si>
  <si>
    <t>Unit of Measure</t>
  </si>
  <si>
    <t>Bees and Wasps</t>
  </si>
  <si>
    <t>Centipedes</t>
  </si>
  <si>
    <t>Earwigs</t>
  </si>
  <si>
    <t>Fleas</t>
  </si>
  <si>
    <t>Flies</t>
  </si>
  <si>
    <t>Lady Bugs</t>
  </si>
  <si>
    <t>Mice</t>
  </si>
  <si>
    <t>Millipedes</t>
  </si>
  <si>
    <t>Pill Bugs</t>
  </si>
  <si>
    <t>Rats</t>
  </si>
  <si>
    <t>Silverfish</t>
  </si>
  <si>
    <t>Spiders</t>
  </si>
  <si>
    <t>DWSD Locations</t>
  </si>
  <si>
    <t>Estimated Square Footage</t>
  </si>
  <si>
    <t>Hornets</t>
  </si>
  <si>
    <t>Live Small Animal Traps</t>
  </si>
  <si>
    <t>Month</t>
  </si>
  <si>
    <t>Annual 
One Year Total</t>
  </si>
  <si>
    <t>Annual
Five Year Total</t>
  </si>
  <si>
    <t>Estimated Building Square Footage</t>
  </si>
  <si>
    <t>Cars</t>
  </si>
  <si>
    <t>SUVs &amp; Mini Vans</t>
  </si>
  <si>
    <t>Full Size Vans</t>
  </si>
  <si>
    <t>U/M</t>
  </si>
  <si>
    <t>EA</t>
  </si>
  <si>
    <t>Total</t>
  </si>
  <si>
    <t>Termites</t>
  </si>
  <si>
    <t>As needed</t>
  </si>
  <si>
    <t>Standard Commercial Services</t>
  </si>
  <si>
    <t>Specialty Commercial Services</t>
  </si>
  <si>
    <t>Full Size, Heavy Duty &amp; Super Duty  PickupTrucks</t>
  </si>
  <si>
    <t>Cockroaches, Roaches</t>
  </si>
  <si>
    <t>Number of Years Experience as an active commercial bed bug pesticide applicator</t>
  </si>
  <si>
    <t>Will a canine be used when performing services for bedbugs?</t>
  </si>
  <si>
    <t>Bed Bed with Canine</t>
  </si>
  <si>
    <t>Bed Bugs no Canine</t>
  </si>
  <si>
    <t>Is canine trained and certified with (NESDCA) for performing services for bedbugs?</t>
  </si>
  <si>
    <t>Utility Trucks, Extra Large Equipment</t>
  </si>
  <si>
    <t>Application Rate Price</t>
  </si>
  <si>
    <t>Price per Application</t>
  </si>
  <si>
    <t>ALL Locations</t>
  </si>
  <si>
    <t xml:space="preserve">Emergency Services </t>
  </si>
  <si>
    <t>Service to be performed but not limited to is listed below
Enter your per visit cost for each service listed below.</t>
  </si>
  <si>
    <t>Proof of certification must be submitted with your bid</t>
  </si>
  <si>
    <r>
      <t xml:space="preserve">Estimated Frequency per Month </t>
    </r>
    <r>
      <rPr>
        <b/>
        <i/>
        <sz val="11"/>
        <color theme="1"/>
        <rFont val="Calibri"/>
        <family val="2"/>
        <scheme val="minor"/>
      </rPr>
      <t>(same day each month)</t>
    </r>
  </si>
  <si>
    <t>Total Standard Commercial Services</t>
  </si>
  <si>
    <t>Total Specialty Commercial Services</t>
  </si>
  <si>
    <t>Total Vehicle Services</t>
  </si>
  <si>
    <t>Sub Total</t>
  </si>
  <si>
    <t>Total Specialty Services</t>
  </si>
  <si>
    <t>DWSD Vehicle Treatment 
(as-needed)</t>
  </si>
  <si>
    <t xml:space="preserve">Central Service Facility (CSF) 6425 Huber St., Detroit MI 48211 and surrounding DWSD owned area
</t>
  </si>
  <si>
    <t>Main Office Building (MOB) 735 Randolph St, Detroit, MI 48226 and surrounding DWSD owned area</t>
  </si>
  <si>
    <t>West Yard (WY) 13401 Outer Drive, Detroit, MI 48239 and surrounding DWSD owned area</t>
  </si>
  <si>
    <t>Total Standard Services</t>
  </si>
  <si>
    <t>Total Price per Application Rate</t>
  </si>
  <si>
    <t xml:space="preserve">Total Price per Emergency Services </t>
  </si>
  <si>
    <t>Common Ants (Sugar, Moisture, Carpenter)</t>
  </si>
  <si>
    <t xml:space="preserve">         Bed Bugs                                                         (Yes / No)</t>
  </si>
  <si>
    <t>EMPLOYEE Name</t>
  </si>
  <si>
    <t>Title</t>
  </si>
  <si>
    <t>YES</t>
  </si>
  <si>
    <t>NO</t>
  </si>
  <si>
    <t>Is licenses by State of Michigan Agriculture Department</t>
  </si>
  <si>
    <t xml:space="preserve">enter company name </t>
  </si>
  <si>
    <t>All certification and training documents must be submitted with bid</t>
  </si>
  <si>
    <t>Make</t>
  </si>
  <si>
    <t>Model</t>
  </si>
  <si>
    <t>License Plate Number</t>
  </si>
  <si>
    <t xml:space="preserve">Employee List </t>
  </si>
  <si>
    <t>Company Vehicle / Equipment List</t>
  </si>
  <si>
    <t>Is employee a Licenses commercial pesticide applicator?</t>
  </si>
  <si>
    <t>Is employee a registered technician?</t>
  </si>
  <si>
    <t>Attachment E Price Form
Detroit Water and Sewerage Department
RFB # 542983 Pest Control Services</t>
  </si>
  <si>
    <t>Certification/ Training</t>
  </si>
  <si>
    <r>
      <t xml:space="preserve">Quotes shall be inclusive of all costs and shall include full compensation for all fees, shipping and delivery charges, materials, equipment, tools, transportation, labor, insurance, permits, overhead and profit, etc. necessary to complete the work in conformance with the scope of work. Extra charges will not be allowed. All prices are firm and cannot be changed after solicitation is closed.
</t>
    </r>
    <r>
      <rPr>
        <b/>
        <sz val="11"/>
        <rFont val="Arial"/>
        <family val="2"/>
      </rPr>
      <t>Insert  your information in green areas only on  Price Form tab. Do Not enter information in the gray or blue areas. 
Please make sure you complete both tabs the Price Form and the Employee-Vehicle tab.</t>
    </r>
    <r>
      <rPr>
        <sz val="1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</si>
</sst>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sz val="11"/>
      <color theme="1"/>
      <name val="Arial"/>
      <family val="2"/>
    </font>
    <font>
      <b/>
      <i/>
      <sz val="11"/>
      <color theme="1"/>
      <name val="Arial"/>
      <family val="2"/>
    </font>
    <font>
      <b/>
      <sz val="10"/>
      <color theme="1"/>
      <name val="Arial"/>
      <family val="2"/>
    </font>
    <font>
      <b/>
      <sz val="11"/>
      <color theme="1"/>
      <name val="Arial"/>
      <family val="2"/>
    </font>
    <font>
      <b/>
      <sz val="14"/>
      <color theme="1"/>
      <name val="Calibri"/>
      <family val="2"/>
      <scheme val="minor"/>
    </font>
    <font>
      <sz val="10"/>
      <color theme="1"/>
      <name val="Arial"/>
      <family val="2"/>
    </font>
    <font>
      <sz val="9"/>
      <color theme="1"/>
      <name val="Calibri"/>
      <family val="2"/>
      <scheme val="minor"/>
    </font>
    <font>
      <b/>
      <i/>
      <sz val="8"/>
      <color theme="1"/>
      <name val="Arial"/>
      <family val="2"/>
    </font>
    <font>
      <b/>
      <sz val="10"/>
      <color theme="1"/>
      <name val="Calibri"/>
      <family val="2"/>
      <scheme val="minor"/>
    </font>
    <font>
      <b/>
      <sz val="18"/>
      <color theme="3" tint="0.39997558519241921"/>
      <name val="Arial"/>
      <family val="2"/>
    </font>
    <font>
      <sz val="11"/>
      <color theme="3" tint="0.39997558519241921"/>
      <name val="Arial"/>
      <family val="2"/>
    </font>
    <font>
      <sz val="11"/>
      <name val="Calibri"/>
      <family val="2"/>
      <scheme val="minor"/>
    </font>
    <font>
      <b/>
      <sz val="11"/>
      <name val="Calibri"/>
      <family val="2"/>
      <scheme val="minor"/>
    </font>
    <font>
      <b/>
      <sz val="20"/>
      <color theme="1"/>
      <name val="Calibri"/>
      <family val="2"/>
      <scheme val="minor"/>
    </font>
    <font>
      <b/>
      <sz val="16"/>
      <color theme="1"/>
      <name val="Calibri"/>
      <family val="2"/>
      <scheme val="minor"/>
    </font>
    <font>
      <b/>
      <sz val="11"/>
      <name val="Arial"/>
      <family val="2"/>
    </font>
    <font>
      <sz val="11"/>
      <name val="Arial"/>
      <family val="2"/>
    </font>
  </fonts>
  <fills count="9">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44" fontId="3" fillId="0" borderId="0" applyFont="0" applyFill="0" applyBorder="0" applyAlignment="0" applyProtection="0"/>
  </cellStyleXfs>
  <cellXfs count="212">
    <xf numFmtId="0" fontId="0" fillId="0" borderId="0" xfId="0"/>
    <xf numFmtId="0" fontId="0" fillId="0" borderId="0" xfId="0" applyAlignment="1">
      <alignment wrapText="1"/>
    </xf>
    <xf numFmtId="0" fontId="4" fillId="0" borderId="0" xfId="0" applyFont="1" applyAlignment="1" applyProtection="1">
      <alignment horizontal="left" wrapText="1"/>
      <protection locked="0"/>
    </xf>
    <xf numFmtId="0" fontId="4" fillId="0" borderId="0" xfId="0" applyFont="1" applyAlignment="1" applyProtection="1">
      <alignment horizontal="left"/>
      <protection locked="0"/>
    </xf>
    <xf numFmtId="0" fontId="5" fillId="0" borderId="0" xfId="0" applyFont="1" applyAlignment="1" applyProtection="1">
      <alignment horizontal="left" wrapText="1"/>
      <protection locked="0"/>
    </xf>
    <xf numFmtId="0" fontId="5" fillId="0" borderId="0" xfId="0" applyFont="1" applyAlignment="1" applyProtection="1">
      <alignment horizontal="left"/>
      <protection locked="0"/>
    </xf>
    <xf numFmtId="0" fontId="5" fillId="0" borderId="0" xfId="0" applyFont="1" applyAlignment="1">
      <alignment horizontal="left" wrapText="1"/>
    </xf>
    <xf numFmtId="0" fontId="5" fillId="0" borderId="0" xfId="0" applyFont="1" applyAlignment="1">
      <alignment horizontal="left"/>
    </xf>
    <xf numFmtId="0" fontId="1" fillId="0" borderId="0" xfId="0" applyFont="1" applyAlignment="1">
      <alignment horizontal="center"/>
    </xf>
    <xf numFmtId="3" fontId="0" fillId="3" borderId="0" xfId="0" applyNumberFormat="1" applyFill="1" applyAlignment="1">
      <alignment wrapText="1"/>
    </xf>
    <xf numFmtId="0" fontId="0" fillId="3" borderId="0" xfId="0" applyFill="1"/>
    <xf numFmtId="44" fontId="0" fillId="3" borderId="0" xfId="1" applyFont="1" applyFill="1"/>
    <xf numFmtId="3" fontId="0" fillId="3" borderId="1" xfId="0" applyNumberFormat="1" applyFill="1" applyBorder="1" applyAlignment="1">
      <alignment horizontal="center" wrapText="1"/>
    </xf>
    <xf numFmtId="44" fontId="0" fillId="3" borderId="1" xfId="1" applyFont="1" applyFill="1" applyBorder="1"/>
    <xf numFmtId="0" fontId="4" fillId="0" borderId="0" xfId="0" applyFont="1"/>
    <xf numFmtId="0" fontId="7" fillId="0" borderId="0" xfId="0" applyFont="1" applyAlignment="1">
      <alignment horizontal="center"/>
    </xf>
    <xf numFmtId="0" fontId="4" fillId="3" borderId="0" xfId="0" applyFont="1" applyFill="1" applyAlignment="1" applyProtection="1">
      <alignment horizontal="left"/>
      <protection locked="0"/>
    </xf>
    <xf numFmtId="3"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left" vertical="center" wrapText="1"/>
    </xf>
    <xf numFmtId="0" fontId="4" fillId="3" borderId="0" xfId="0" applyFont="1" applyFill="1" applyAlignment="1" applyProtection="1">
      <alignment horizontal="left" vertical="center" wrapText="1"/>
      <protection locked="0"/>
    </xf>
    <xf numFmtId="0" fontId="4" fillId="3" borderId="0" xfId="0" applyFont="1" applyFill="1"/>
    <xf numFmtId="44" fontId="0" fillId="3" borderId="0" xfId="1" applyFont="1" applyFill="1" applyBorder="1"/>
    <xf numFmtId="44" fontId="0" fillId="5" borderId="18" xfId="1" applyFont="1" applyFill="1" applyBorder="1"/>
    <xf numFmtId="0" fontId="7" fillId="0" borderId="8" xfId="0" applyFont="1" applyBorder="1" applyAlignment="1">
      <alignment horizontal="center" vertical="center" textRotation="90"/>
    </xf>
    <xf numFmtId="0" fontId="0" fillId="0" borderId="32" xfId="0" applyBorder="1" applyAlignment="1">
      <alignment horizontal="left" vertical="center" wrapText="1"/>
    </xf>
    <xf numFmtId="0" fontId="6" fillId="3" borderId="0" xfId="0" applyFont="1" applyFill="1" applyAlignment="1" applyProtection="1">
      <alignment horizontal="center" vertical="center" wrapText="1"/>
      <protection locked="0"/>
    </xf>
    <xf numFmtId="0" fontId="1" fillId="3" borderId="0" xfId="0" applyFont="1" applyFill="1" applyAlignment="1">
      <alignment horizontal="center"/>
    </xf>
    <xf numFmtId="0" fontId="1" fillId="3" borderId="0" xfId="0" applyFont="1" applyFill="1" applyAlignment="1">
      <alignment horizontal="center" wrapText="1"/>
    </xf>
    <xf numFmtId="44" fontId="0" fillId="3" borderId="0" xfId="0" applyNumberFormat="1" applyFill="1"/>
    <xf numFmtId="44" fontId="0" fillId="3" borderId="18" xfId="1" applyFont="1" applyFill="1" applyBorder="1"/>
    <xf numFmtId="0" fontId="4" fillId="0" borderId="0" xfId="0" applyFont="1" applyAlignment="1" applyProtection="1">
      <alignment wrapText="1"/>
      <protection locked="0"/>
    </xf>
    <xf numFmtId="0" fontId="4" fillId="0" borderId="1" xfId="0" applyFont="1" applyBorder="1" applyAlignment="1" applyProtection="1">
      <alignment horizontal="left" wrapText="1"/>
      <protection locked="0"/>
    </xf>
    <xf numFmtId="0" fontId="7" fillId="0" borderId="0" xfId="0" applyFont="1" applyAlignment="1">
      <alignment horizontal="center" vertical="center" textRotation="90"/>
    </xf>
    <xf numFmtId="0" fontId="0" fillId="0" borderId="1" xfId="0" applyBorder="1"/>
    <xf numFmtId="3" fontId="0" fillId="0" borderId="43" xfId="0" applyNumberFormat="1" applyBorder="1" applyAlignment="1">
      <alignment horizontal="center" vertical="center" wrapText="1"/>
    </xf>
    <xf numFmtId="0" fontId="0" fillId="0" borderId="43" xfId="0" applyBorder="1" applyAlignment="1">
      <alignment horizontal="center" vertical="center"/>
    </xf>
    <xf numFmtId="0" fontId="0" fillId="0" borderId="44" xfId="0" applyBorder="1" applyAlignment="1">
      <alignment horizontal="center" vertical="center"/>
    </xf>
    <xf numFmtId="0" fontId="1" fillId="4" borderId="29" xfId="0" applyFont="1" applyFill="1" applyBorder="1" applyAlignment="1">
      <alignment horizontal="center" wrapText="1"/>
    </xf>
    <xf numFmtId="0" fontId="1" fillId="4" borderId="30" xfId="0" applyFont="1" applyFill="1" applyBorder="1" applyAlignment="1">
      <alignment horizontal="center" wrapText="1"/>
    </xf>
    <xf numFmtId="0" fontId="1" fillId="4" borderId="13" xfId="0" applyFont="1" applyFill="1" applyBorder="1" applyAlignment="1">
      <alignment horizontal="center" wrapText="1"/>
    </xf>
    <xf numFmtId="0" fontId="1" fillId="5" borderId="29" xfId="0" applyFont="1" applyFill="1" applyBorder="1" applyAlignment="1">
      <alignment horizontal="center" wrapText="1"/>
    </xf>
    <xf numFmtId="3" fontId="0" fillId="0" borderId="20" xfId="0" applyNumberFormat="1" applyBorder="1" applyAlignment="1">
      <alignment horizontal="center" vertical="center" wrapText="1"/>
    </xf>
    <xf numFmtId="0" fontId="0" fillId="0" borderId="20" xfId="0" applyBorder="1" applyAlignment="1">
      <alignment horizontal="center" vertical="center"/>
    </xf>
    <xf numFmtId="0" fontId="0" fillId="0" borderId="47" xfId="0" applyBorder="1" applyAlignment="1">
      <alignment horizontal="center" vertical="center"/>
    </xf>
    <xf numFmtId="0" fontId="0" fillId="0" borderId="2" xfId="0" applyBorder="1" applyAlignment="1">
      <alignment horizontal="left" vertical="center" wrapText="1"/>
    </xf>
    <xf numFmtId="0" fontId="0" fillId="0" borderId="22" xfId="0" applyBorder="1" applyAlignment="1">
      <alignment horizontal="left" vertical="center" wrapText="1"/>
    </xf>
    <xf numFmtId="0" fontId="0" fillId="0" borderId="48" xfId="0" applyBorder="1" applyAlignment="1">
      <alignment horizontal="center" vertical="center" wrapText="1"/>
    </xf>
    <xf numFmtId="0" fontId="1" fillId="4" borderId="12" xfId="0" applyFont="1" applyFill="1" applyBorder="1" applyAlignment="1">
      <alignment horizontal="center" wrapText="1"/>
    </xf>
    <xf numFmtId="0" fontId="0" fillId="0" borderId="52" xfId="0" applyBorder="1" applyAlignment="1">
      <alignment horizontal="left" vertical="top" wrapText="1"/>
    </xf>
    <xf numFmtId="0" fontId="4" fillId="0" borderId="43" xfId="0" applyFont="1" applyBorder="1" applyAlignment="1" applyProtection="1">
      <alignment horizontal="left" wrapText="1"/>
      <protection locked="0"/>
    </xf>
    <xf numFmtId="0" fontId="4" fillId="0" borderId="42" xfId="0" applyFont="1" applyBorder="1" applyAlignment="1" applyProtection="1">
      <alignment horizontal="left" wrapText="1"/>
      <protection locked="0"/>
    </xf>
    <xf numFmtId="0" fontId="4" fillId="0" borderId="24" xfId="0" applyFont="1" applyBorder="1" applyAlignment="1" applyProtection="1">
      <alignment horizontal="left" wrapText="1"/>
      <protection locked="0"/>
    </xf>
    <xf numFmtId="0" fontId="4" fillId="0" borderId="2" xfId="0" applyFont="1" applyBorder="1" applyAlignment="1" applyProtection="1">
      <alignment horizontal="left" wrapText="1"/>
      <protection locked="0"/>
    </xf>
    <xf numFmtId="0" fontId="4" fillId="0" borderId="18" xfId="0" applyFont="1" applyBorder="1" applyAlignment="1" applyProtection="1">
      <alignment horizontal="left" wrapText="1"/>
      <protection locked="0"/>
    </xf>
    <xf numFmtId="0" fontId="4" fillId="0" borderId="22" xfId="0" applyFont="1" applyBorder="1" applyAlignment="1" applyProtection="1">
      <alignment horizontal="left" wrapText="1"/>
      <protection locked="0"/>
    </xf>
    <xf numFmtId="0" fontId="4" fillId="0" borderId="23" xfId="0" applyFont="1" applyBorder="1" applyAlignment="1" applyProtection="1">
      <alignment horizontal="left" wrapText="1"/>
      <protection locked="0"/>
    </xf>
    <xf numFmtId="0" fontId="4" fillId="0" borderId="51" xfId="0" applyFont="1" applyBorder="1" applyAlignment="1" applyProtection="1">
      <alignment horizontal="left" wrapText="1"/>
      <protection locked="0"/>
    </xf>
    <xf numFmtId="0" fontId="1" fillId="4" borderId="38" xfId="0" applyFont="1" applyFill="1" applyBorder="1" applyAlignment="1">
      <alignment horizontal="center"/>
    </xf>
    <xf numFmtId="0" fontId="0" fillId="0" borderId="42" xfId="0" applyBorder="1" applyAlignment="1">
      <alignment horizontal="left" vertical="top" wrapText="1"/>
    </xf>
    <xf numFmtId="3" fontId="0" fillId="4" borderId="5" xfId="0" applyNumberFormat="1" applyFill="1" applyBorder="1" applyAlignment="1">
      <alignment horizontal="center" vertical="center" wrapText="1"/>
    </xf>
    <xf numFmtId="0" fontId="1" fillId="4" borderId="26" xfId="0" applyFont="1" applyFill="1" applyBorder="1" applyAlignment="1">
      <alignment horizontal="center" vertical="center" wrapText="1"/>
    </xf>
    <xf numFmtId="3" fontId="1" fillId="4" borderId="20" xfId="0" applyNumberFormat="1" applyFont="1" applyFill="1" applyBorder="1" applyAlignment="1">
      <alignment horizontal="center" wrapText="1"/>
    </xf>
    <xf numFmtId="0" fontId="1" fillId="4" borderId="21" xfId="0" applyFont="1" applyFill="1" applyBorder="1" applyAlignment="1">
      <alignment horizontal="center"/>
    </xf>
    <xf numFmtId="3" fontId="0" fillId="3" borderId="23" xfId="0" applyNumberFormat="1" applyFill="1" applyBorder="1" applyAlignment="1">
      <alignment horizontal="center" wrapText="1"/>
    </xf>
    <xf numFmtId="3" fontId="0" fillId="4" borderId="29" xfId="0" applyNumberFormat="1" applyFill="1" applyBorder="1" applyAlignment="1">
      <alignment horizontal="right" wrapText="1"/>
    </xf>
    <xf numFmtId="44" fontId="0" fillId="4" borderId="13" xfId="0" applyNumberFormat="1" applyFill="1" applyBorder="1"/>
    <xf numFmtId="0" fontId="1" fillId="4" borderId="27" xfId="0" applyFont="1" applyFill="1" applyBorder="1" applyAlignment="1">
      <alignment horizontal="center" vertical="center" wrapText="1"/>
    </xf>
    <xf numFmtId="0" fontId="1" fillId="6" borderId="30" xfId="0" applyFont="1" applyFill="1" applyBorder="1" applyAlignment="1">
      <alignment horizontal="center"/>
    </xf>
    <xf numFmtId="0" fontId="1" fillId="6" borderId="30" xfId="0" applyFont="1" applyFill="1" applyBorder="1" applyAlignment="1">
      <alignment horizontal="center" wrapText="1"/>
    </xf>
    <xf numFmtId="0" fontId="1" fillId="6" borderId="13" xfId="0" applyFont="1" applyFill="1" applyBorder="1" applyAlignment="1">
      <alignment horizontal="center" wrapText="1"/>
    </xf>
    <xf numFmtId="44" fontId="0" fillId="6" borderId="23" xfId="0" applyNumberFormat="1" applyFill="1" applyBorder="1"/>
    <xf numFmtId="44" fontId="0" fillId="6" borderId="51" xfId="0" applyNumberFormat="1" applyFill="1" applyBorder="1"/>
    <xf numFmtId="44" fontId="0" fillId="6" borderId="46" xfId="1" applyFont="1" applyFill="1" applyBorder="1"/>
    <xf numFmtId="44" fontId="0" fillId="6" borderId="25" xfId="1" applyFont="1" applyFill="1" applyBorder="1"/>
    <xf numFmtId="0" fontId="11" fillId="7" borderId="28" xfId="0" applyFont="1" applyFill="1" applyBorder="1" applyAlignment="1" applyProtection="1">
      <alignment horizontal="left" vertical="top" wrapText="1"/>
      <protection locked="0"/>
    </xf>
    <xf numFmtId="44" fontId="0" fillId="5" borderId="51" xfId="1" applyFont="1" applyFill="1" applyBorder="1"/>
    <xf numFmtId="0" fontId="4" fillId="5" borderId="5" xfId="0" applyFont="1" applyFill="1" applyBorder="1" applyAlignment="1" applyProtection="1">
      <alignment horizontal="left" vertical="center" wrapText="1"/>
      <protection locked="0"/>
    </xf>
    <xf numFmtId="0" fontId="4" fillId="5" borderId="5" xfId="0" applyFont="1" applyFill="1" applyBorder="1" applyAlignment="1" applyProtection="1">
      <alignment horizontal="left" vertical="top" wrapText="1"/>
      <protection locked="0"/>
    </xf>
    <xf numFmtId="0" fontId="0" fillId="5" borderId="5" xfId="0" applyFill="1" applyBorder="1"/>
    <xf numFmtId="0" fontId="4" fillId="0" borderId="0" xfId="0" applyFont="1" applyAlignment="1">
      <alignment horizontal="left" vertical="center" wrapText="1"/>
    </xf>
    <xf numFmtId="44" fontId="0" fillId="5" borderId="19" xfId="1" applyFont="1" applyFill="1" applyBorder="1" applyAlignment="1">
      <alignment horizontal="center" vertical="center"/>
    </xf>
    <xf numFmtId="44" fontId="0" fillId="6" borderId="20" xfId="1" applyFont="1" applyFill="1" applyBorder="1" applyAlignment="1">
      <alignment horizontal="center" vertical="center"/>
    </xf>
    <xf numFmtId="44" fontId="0" fillId="6" borderId="21" xfId="1" applyFont="1" applyFill="1" applyBorder="1" applyAlignment="1">
      <alignment horizontal="center" vertical="center"/>
    </xf>
    <xf numFmtId="44" fontId="0" fillId="5" borderId="2" xfId="1" applyFont="1" applyFill="1" applyBorder="1" applyAlignment="1">
      <alignment horizontal="center" vertical="center"/>
    </xf>
    <xf numFmtId="0" fontId="1" fillId="5" borderId="11" xfId="0" applyFont="1" applyFill="1" applyBorder="1" applyAlignment="1">
      <alignment horizontal="center" wrapText="1"/>
    </xf>
    <xf numFmtId="44" fontId="0" fillId="5" borderId="26" xfId="1" applyFont="1" applyFill="1" applyBorder="1" applyAlignment="1">
      <alignment horizontal="center" vertical="center"/>
    </xf>
    <xf numFmtId="44" fontId="0" fillId="5" borderId="33" xfId="1" applyFont="1" applyFill="1" applyBorder="1" applyAlignment="1">
      <alignment horizontal="center" vertical="center"/>
    </xf>
    <xf numFmtId="0" fontId="1" fillId="6" borderId="29" xfId="0" applyFont="1" applyFill="1" applyBorder="1" applyAlignment="1">
      <alignment horizontal="center"/>
    </xf>
    <xf numFmtId="44" fontId="0" fillId="6" borderId="19" xfId="1" applyFont="1" applyFill="1" applyBorder="1" applyAlignment="1">
      <alignment horizontal="center" vertical="center"/>
    </xf>
    <xf numFmtId="44" fontId="0" fillId="6" borderId="45" xfId="1" applyFont="1" applyFill="1" applyBorder="1"/>
    <xf numFmtId="44" fontId="0" fillId="6" borderId="9" xfId="0" applyNumberFormat="1" applyFill="1" applyBorder="1"/>
    <xf numFmtId="44" fontId="0" fillId="6" borderId="43" xfId="1" applyFont="1" applyFill="1" applyBorder="1" applyAlignment="1">
      <alignment horizontal="center" vertical="center"/>
    </xf>
    <xf numFmtId="44" fontId="0" fillId="6" borderId="24" xfId="1" applyFont="1" applyFill="1" applyBorder="1" applyAlignment="1">
      <alignment horizontal="center" vertical="center"/>
    </xf>
    <xf numFmtId="0" fontId="1" fillId="6" borderId="29" xfId="0" applyFont="1" applyFill="1" applyBorder="1" applyAlignment="1">
      <alignment horizontal="center" wrapText="1"/>
    </xf>
    <xf numFmtId="0" fontId="0" fillId="8" borderId="36" xfId="0" applyFill="1" applyBorder="1" applyAlignment="1">
      <alignment horizontal="left" vertical="center" wrapText="1"/>
    </xf>
    <xf numFmtId="3" fontId="0" fillId="8" borderId="32" xfId="0" applyNumberFormat="1" applyFill="1" applyBorder="1" applyAlignment="1">
      <alignment horizontal="center" vertical="center" wrapText="1"/>
    </xf>
    <xf numFmtId="0" fontId="0" fillId="8" borderId="34" xfId="0" applyFill="1" applyBorder="1" applyAlignment="1">
      <alignment horizontal="center" vertical="center"/>
    </xf>
    <xf numFmtId="0" fontId="0" fillId="8" borderId="37" xfId="0" applyFill="1" applyBorder="1" applyAlignment="1">
      <alignment horizontal="center" vertical="center"/>
    </xf>
    <xf numFmtId="44" fontId="0" fillId="5" borderId="9" xfId="0" applyNumberFormat="1" applyFill="1" applyBorder="1" applyAlignment="1">
      <alignment horizontal="center" vertical="center"/>
    </xf>
    <xf numFmtId="44" fontId="0" fillId="8" borderId="22" xfId="1" applyFont="1" applyFill="1" applyBorder="1" applyAlignment="1">
      <alignment horizontal="center" vertical="center"/>
    </xf>
    <xf numFmtId="44" fontId="0" fillId="8" borderId="46" xfId="1" applyFont="1" applyFill="1" applyBorder="1" applyAlignment="1">
      <alignment horizontal="center" vertical="center"/>
    </xf>
    <xf numFmtId="44" fontId="0" fillId="8" borderId="25" xfId="1" applyFont="1" applyFill="1" applyBorder="1" applyAlignment="1">
      <alignment horizontal="center" vertical="center"/>
    </xf>
    <xf numFmtId="44" fontId="0" fillId="6" borderId="36" xfId="1" applyFont="1" applyFill="1" applyBorder="1" applyAlignment="1">
      <alignment horizontal="center" vertical="center"/>
    </xf>
    <xf numFmtId="0" fontId="0" fillId="0" borderId="19" xfId="0" applyBorder="1"/>
    <xf numFmtId="44" fontId="0" fillId="3" borderId="20" xfId="1" applyFont="1" applyFill="1" applyBorder="1"/>
    <xf numFmtId="44" fontId="0" fillId="3" borderId="21" xfId="1" applyFont="1" applyFill="1" applyBorder="1"/>
    <xf numFmtId="0" fontId="0" fillId="0" borderId="2" xfId="0" applyBorder="1"/>
    <xf numFmtId="44" fontId="0" fillId="6" borderId="2" xfId="1" applyFont="1" applyFill="1" applyBorder="1"/>
    <xf numFmtId="44" fontId="0" fillId="6" borderId="42" xfId="1" applyFont="1" applyFill="1" applyBorder="1"/>
    <xf numFmtId="44" fontId="0" fillId="6" borderId="54" xfId="1" applyFont="1" applyFill="1" applyBorder="1"/>
    <xf numFmtId="44" fontId="0" fillId="6" borderId="55" xfId="1" applyFont="1" applyFill="1" applyBorder="1"/>
    <xf numFmtId="0" fontId="0" fillId="0" borderId="58" xfId="0" applyBorder="1" applyAlignment="1">
      <alignment horizontal="left" vertical="center" wrapText="1"/>
    </xf>
    <xf numFmtId="0" fontId="0" fillId="0" borderId="58" xfId="0" applyBorder="1" applyAlignment="1">
      <alignment horizontal="center" vertical="center" wrapText="1"/>
    </xf>
    <xf numFmtId="44" fontId="0" fillId="8" borderId="45" xfId="0" applyNumberFormat="1" applyFill="1" applyBorder="1" applyAlignment="1">
      <alignment horizontal="center" vertical="center"/>
    </xf>
    <xf numFmtId="44" fontId="0" fillId="8" borderId="46" xfId="0" applyNumberFormat="1" applyFill="1" applyBorder="1" applyAlignment="1">
      <alignment horizontal="center" vertical="center"/>
    </xf>
    <xf numFmtId="44" fontId="0" fillId="8" borderId="25" xfId="0" applyNumberFormat="1" applyFill="1" applyBorder="1" applyAlignment="1">
      <alignment horizontal="center" vertical="center"/>
    </xf>
    <xf numFmtId="0" fontId="0" fillId="8" borderId="29" xfId="0" applyFill="1" applyBorder="1" applyAlignment="1">
      <alignment horizontal="left" vertical="center" wrapText="1"/>
    </xf>
    <xf numFmtId="3" fontId="0" fillId="8" borderId="12" xfId="0" applyNumberFormat="1" applyFill="1" applyBorder="1" applyAlignment="1">
      <alignment horizontal="center" vertical="center" wrapText="1"/>
    </xf>
    <xf numFmtId="0" fontId="0" fillId="8" borderId="30" xfId="0" applyFill="1" applyBorder="1" applyAlignment="1">
      <alignment horizontal="center" vertical="center"/>
    </xf>
    <xf numFmtId="0" fontId="0" fillId="8" borderId="38" xfId="0" applyFill="1" applyBorder="1" applyAlignment="1">
      <alignment horizontal="center" vertical="center"/>
    </xf>
    <xf numFmtId="44" fontId="0" fillId="8" borderId="29" xfId="1" applyFont="1" applyFill="1" applyBorder="1" applyAlignment="1">
      <alignment horizontal="center" vertical="center"/>
    </xf>
    <xf numFmtId="44" fontId="0" fillId="8" borderId="30" xfId="1" applyFont="1" applyFill="1" applyBorder="1" applyAlignment="1">
      <alignment horizontal="center" vertical="center"/>
    </xf>
    <xf numFmtId="44" fontId="0" fillId="8" borderId="13" xfId="1" applyFont="1" applyFill="1" applyBorder="1" applyAlignment="1">
      <alignment horizontal="center" vertical="center"/>
    </xf>
    <xf numFmtId="44" fontId="0" fillId="6" borderId="56" xfId="1" applyFont="1" applyFill="1" applyBorder="1" applyAlignment="1">
      <alignment horizontal="center" vertical="center"/>
    </xf>
    <xf numFmtId="44" fontId="0" fillId="8" borderId="11" xfId="1" applyFont="1" applyFill="1" applyBorder="1" applyAlignment="1">
      <alignment horizontal="center" vertical="center"/>
    </xf>
    <xf numFmtId="44" fontId="0" fillId="6" borderId="57" xfId="1" applyFont="1" applyFill="1" applyBorder="1"/>
    <xf numFmtId="44" fontId="0" fillId="6" borderId="17" xfId="1" applyFont="1" applyFill="1" applyBorder="1"/>
    <xf numFmtId="0" fontId="1" fillId="0" borderId="37" xfId="0" applyFont="1" applyBorder="1" applyAlignment="1">
      <alignment horizontal="right" vertical="center"/>
    </xf>
    <xf numFmtId="0" fontId="12" fillId="3" borderId="0" xfId="0" applyFont="1" applyFill="1" applyAlignment="1">
      <alignment horizontal="right"/>
    </xf>
    <xf numFmtId="44" fontId="0" fillId="6" borderId="24" xfId="0" applyNumberFormat="1" applyFill="1" applyBorder="1"/>
    <xf numFmtId="44" fontId="0" fillId="6" borderId="18" xfId="0" applyNumberFormat="1" applyFill="1" applyBorder="1"/>
    <xf numFmtId="44" fontId="0" fillId="6" borderId="1" xfId="0" applyNumberFormat="1" applyFill="1" applyBorder="1"/>
    <xf numFmtId="44" fontId="0" fillId="6" borderId="43" xfId="0" applyNumberFormat="1" applyFill="1" applyBorder="1"/>
    <xf numFmtId="44" fontId="0" fillId="0" borderId="0" xfId="0" applyNumberFormat="1"/>
    <xf numFmtId="0" fontId="1" fillId="6" borderId="38" xfId="0" applyFont="1" applyFill="1" applyBorder="1" applyAlignment="1">
      <alignment horizontal="center" vertical="center" wrapText="1"/>
    </xf>
    <xf numFmtId="44" fontId="0" fillId="6" borderId="36" xfId="1" applyFont="1" applyFill="1" applyBorder="1"/>
    <xf numFmtId="44" fontId="0" fillId="4" borderId="29" xfId="1" applyFont="1" applyFill="1" applyBorder="1"/>
    <xf numFmtId="44" fontId="0" fillId="6" borderId="44" xfId="0" applyNumberFormat="1" applyFill="1" applyBorder="1"/>
    <xf numFmtId="44" fontId="0" fillId="6" borderId="3" xfId="0" applyNumberFormat="1" applyFill="1" applyBorder="1"/>
    <xf numFmtId="44" fontId="0" fillId="4" borderId="38" xfId="0" applyNumberFormat="1" applyFill="1" applyBorder="1"/>
    <xf numFmtId="44" fontId="0" fillId="6" borderId="42" xfId="0" applyNumberFormat="1" applyFill="1" applyBorder="1"/>
    <xf numFmtId="44" fontId="0" fillId="6" borderId="2" xfId="0" applyNumberFormat="1" applyFill="1" applyBorder="1"/>
    <xf numFmtId="44" fontId="0" fillId="6" borderId="29" xfId="0" applyNumberFormat="1" applyFill="1" applyBorder="1"/>
    <xf numFmtId="44" fontId="0" fillId="6" borderId="30" xfId="0" applyNumberFormat="1" applyFill="1" applyBorder="1"/>
    <xf numFmtId="44" fontId="0" fillId="6" borderId="13" xfId="0" applyNumberFormat="1" applyFill="1" applyBorder="1"/>
    <xf numFmtId="44" fontId="0" fillId="5" borderId="11" xfId="0" applyNumberFormat="1" applyFill="1" applyBorder="1" applyAlignment="1">
      <alignment horizontal="center" vertical="center"/>
    </xf>
    <xf numFmtId="44" fontId="0" fillId="8" borderId="6" xfId="1" applyFont="1" applyFill="1" applyBorder="1" applyAlignment="1">
      <alignment horizontal="center" vertical="center"/>
    </xf>
    <xf numFmtId="44" fontId="0" fillId="8" borderId="7" xfId="1" applyFont="1" applyFill="1" applyBorder="1" applyAlignment="1">
      <alignment horizontal="center" vertical="center"/>
    </xf>
    <xf numFmtId="44" fontId="0" fillId="8" borderId="53" xfId="1" applyFont="1" applyFill="1" applyBorder="1" applyAlignment="1">
      <alignment horizontal="center" vertical="center"/>
    </xf>
    <xf numFmtId="44" fontId="0" fillId="6" borderId="22" xfId="0" applyNumberFormat="1" applyFill="1" applyBorder="1"/>
    <xf numFmtId="0" fontId="0" fillId="8" borderId="37" xfId="0" applyFill="1" applyBorder="1"/>
    <xf numFmtId="0" fontId="0" fillId="8" borderId="36" xfId="0" applyFill="1" applyBorder="1"/>
    <xf numFmtId="0" fontId="0" fillId="8" borderId="34" xfId="0" applyFill="1" applyBorder="1"/>
    <xf numFmtId="0" fontId="0" fillId="8" borderId="35" xfId="0" applyFill="1" applyBorder="1"/>
    <xf numFmtId="0" fontId="9" fillId="0" borderId="43" xfId="0" applyFont="1" applyBorder="1" applyAlignment="1" applyProtection="1">
      <alignment wrapText="1"/>
      <protection locked="0"/>
    </xf>
    <xf numFmtId="0" fontId="0" fillId="0" borderId="5" xfId="0" applyBorder="1"/>
    <xf numFmtId="0" fontId="1" fillId="0" borderId="0" xfId="0" applyFont="1"/>
    <xf numFmtId="0" fontId="16" fillId="0" borderId="0" xfId="0" applyFont="1" applyAlignment="1">
      <alignment vertical="top"/>
    </xf>
    <xf numFmtId="0" fontId="0" fillId="0" borderId="43" xfId="0" applyBorder="1"/>
    <xf numFmtId="0" fontId="1" fillId="4" borderId="9" xfId="0" applyFont="1" applyFill="1" applyBorder="1" applyAlignment="1">
      <alignment horizontal="center"/>
    </xf>
    <xf numFmtId="0" fontId="1" fillId="4" borderId="40" xfId="0" applyFont="1" applyFill="1" applyBorder="1" applyAlignment="1">
      <alignment horizontal="center"/>
    </xf>
    <xf numFmtId="0" fontId="1" fillId="4" borderId="10" xfId="0" applyFont="1" applyFill="1" applyBorder="1" applyAlignment="1">
      <alignment horizontal="center"/>
    </xf>
    <xf numFmtId="0" fontId="1" fillId="4" borderId="40" xfId="0" applyFont="1" applyFill="1" applyBorder="1" applyAlignment="1">
      <alignment horizontal="center" wrapText="1"/>
    </xf>
    <xf numFmtId="0" fontId="20" fillId="0" borderId="19" xfId="0" applyFont="1" applyBorder="1" applyAlignment="1" applyProtection="1">
      <alignment horizontal="left" wrapText="1"/>
      <protection locked="0"/>
    </xf>
    <xf numFmtId="0" fontId="20" fillId="0" borderId="20" xfId="0" applyFont="1" applyBorder="1" applyAlignment="1" applyProtection="1">
      <alignment horizontal="left" wrapText="1"/>
      <protection locked="0"/>
    </xf>
    <xf numFmtId="0" fontId="20" fillId="0" borderId="21" xfId="0" applyFont="1" applyBorder="1" applyAlignment="1" applyProtection="1">
      <alignment horizontal="left" wrapText="1"/>
      <protection locked="0"/>
    </xf>
    <xf numFmtId="0" fontId="20" fillId="0" borderId="22" xfId="0" applyFont="1" applyBorder="1" applyAlignment="1" applyProtection="1">
      <alignment horizontal="left" wrapText="1"/>
      <protection locked="0"/>
    </xf>
    <xf numFmtId="0" fontId="20" fillId="0" borderId="23" xfId="0" applyFont="1" applyBorder="1" applyAlignment="1" applyProtection="1">
      <alignment horizontal="left" wrapText="1"/>
      <protection locked="0"/>
    </xf>
    <xf numFmtId="0" fontId="15" fillId="0" borderId="51" xfId="0" applyFont="1" applyBorder="1"/>
    <xf numFmtId="44" fontId="1" fillId="4" borderId="11" xfId="1" applyFont="1" applyFill="1" applyBorder="1"/>
    <xf numFmtId="44" fontId="1" fillId="4" borderId="14" xfId="1" applyFont="1" applyFill="1" applyBorder="1"/>
    <xf numFmtId="0" fontId="13" fillId="0" borderId="0" xfId="0" applyFont="1" applyAlignment="1">
      <alignment horizontal="center" vertical="center" wrapText="1"/>
    </xf>
    <xf numFmtId="0" fontId="14" fillId="0" borderId="0" xfId="0" applyFont="1" applyAlignment="1">
      <alignment horizontal="center" vertical="center"/>
    </xf>
    <xf numFmtId="0" fontId="1" fillId="5" borderId="11" xfId="0" applyFont="1" applyFill="1" applyBorder="1" applyAlignment="1">
      <alignment horizontal="center"/>
    </xf>
    <xf numFmtId="0" fontId="1" fillId="5" borderId="15" xfId="0" applyFont="1" applyFill="1" applyBorder="1" applyAlignment="1">
      <alignment horizontal="center"/>
    </xf>
    <xf numFmtId="0" fontId="1" fillId="5" borderId="14" xfId="0" applyFont="1" applyFill="1" applyBorder="1" applyAlignment="1">
      <alignment horizontal="center"/>
    </xf>
    <xf numFmtId="0" fontId="4" fillId="0" borderId="0" xfId="0" applyFont="1" applyAlignment="1">
      <alignment horizontal="left" vertical="center" wrapText="1"/>
    </xf>
    <xf numFmtId="0" fontId="0" fillId="0" borderId="31" xfId="0" applyBorder="1"/>
    <xf numFmtId="0" fontId="0" fillId="0" borderId="50" xfId="0" applyBorder="1"/>
    <xf numFmtId="0" fontId="0" fillId="0" borderId="39" xfId="0" applyBorder="1"/>
    <xf numFmtId="0" fontId="0" fillId="0" borderId="33" xfId="0" applyBorder="1" applyAlignment="1">
      <alignment horizontal="left" vertical="top" wrapText="1"/>
    </xf>
    <xf numFmtId="0" fontId="0" fillId="0" borderId="4" xfId="0" applyBorder="1" applyAlignment="1">
      <alignment horizontal="left" vertical="top" wrapText="1"/>
    </xf>
    <xf numFmtId="0" fontId="0" fillId="0" borderId="31" xfId="0" applyBorder="1" applyAlignment="1">
      <alignment horizontal="left" vertical="top" wrapText="1"/>
    </xf>
    <xf numFmtId="0" fontId="0" fillId="0" borderId="48" xfId="0" applyBorder="1" applyAlignment="1">
      <alignment horizontal="left" vertical="top" wrapText="1"/>
    </xf>
    <xf numFmtId="0" fontId="0" fillId="0" borderId="23" xfId="0" applyBorder="1" applyAlignment="1">
      <alignment horizontal="center" vertical="center"/>
    </xf>
    <xf numFmtId="0" fontId="0" fillId="0" borderId="49" xfId="0" applyBorder="1" applyAlignment="1">
      <alignment horizontal="center" vertical="center"/>
    </xf>
    <xf numFmtId="0" fontId="9" fillId="0" borderId="11" xfId="0" applyFont="1" applyBorder="1" applyAlignment="1" applyProtection="1">
      <alignment horizontal="left" vertical="top" wrapText="1"/>
      <protection locked="0"/>
    </xf>
    <xf numFmtId="0" fontId="9" fillId="0" borderId="15" xfId="0" applyFont="1" applyBorder="1" applyAlignment="1" applyProtection="1">
      <alignment horizontal="left" vertical="top" wrapText="1"/>
      <protection locked="0"/>
    </xf>
    <xf numFmtId="0" fontId="0" fillId="0" borderId="59" xfId="0" applyBorder="1" applyAlignment="1">
      <alignment horizontal="center" vertical="center"/>
    </xf>
    <xf numFmtId="0" fontId="0" fillId="0" borderId="10" xfId="0" applyBorder="1" applyAlignment="1">
      <alignment horizontal="center" vertical="center"/>
    </xf>
    <xf numFmtId="0" fontId="8" fillId="4" borderId="28"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6" fillId="2" borderId="11" xfId="0" applyFont="1" applyFill="1" applyBorder="1" applyAlignment="1" applyProtection="1">
      <alignment horizontal="center" vertical="center" wrapText="1"/>
      <protection locked="0"/>
    </xf>
    <xf numFmtId="0" fontId="6" fillId="2" borderId="15" xfId="0" applyFont="1" applyFill="1" applyBorder="1" applyAlignment="1" applyProtection="1">
      <alignment horizontal="center" vertical="center" wrapText="1"/>
      <protection locked="0"/>
    </xf>
    <xf numFmtId="0" fontId="6" fillId="2" borderId="14" xfId="0" applyFont="1" applyFill="1" applyBorder="1" applyAlignment="1" applyProtection="1">
      <alignment horizontal="center" vertical="center" wrapText="1"/>
      <protection locked="0"/>
    </xf>
    <xf numFmtId="0" fontId="7" fillId="4" borderId="11" xfId="0" applyFont="1" applyFill="1" applyBorder="1" applyAlignment="1" applyProtection="1">
      <alignment horizontal="left" vertical="center" wrapText="1"/>
      <protection locked="0"/>
    </xf>
    <xf numFmtId="0" fontId="7" fillId="4" borderId="15" xfId="0" applyFont="1" applyFill="1" applyBorder="1" applyAlignment="1" applyProtection="1">
      <alignment horizontal="left" vertical="center" wrapText="1"/>
      <protection locked="0"/>
    </xf>
    <xf numFmtId="0" fontId="7" fillId="4" borderId="14" xfId="0" applyFont="1" applyFill="1" applyBorder="1" applyAlignment="1" applyProtection="1">
      <alignment horizontal="left" vertical="center" wrapText="1"/>
      <protection locked="0"/>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5" borderId="53" xfId="0" applyFont="1" applyFill="1" applyBorder="1" applyAlignment="1">
      <alignment horizontal="center"/>
    </xf>
    <xf numFmtId="0" fontId="10" fillId="0" borderId="0" xfId="0" applyFont="1" applyAlignment="1">
      <alignment horizontal="center" vertical="top"/>
    </xf>
    <xf numFmtId="0" fontId="0" fillId="0" borderId="41" xfId="0" applyBorder="1"/>
    <xf numFmtId="0" fontId="18" fillId="4" borderId="11" xfId="0" applyFont="1" applyFill="1" applyBorder="1" applyAlignment="1">
      <alignment horizontal="center" vertical="center"/>
    </xf>
    <xf numFmtId="0" fontId="18" fillId="4" borderId="15" xfId="0" applyFont="1" applyFill="1" applyBorder="1" applyAlignment="1">
      <alignment horizontal="center" vertical="center"/>
    </xf>
    <xf numFmtId="0" fontId="18" fillId="4" borderId="14"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5" xfId="0" applyFont="1" applyFill="1" applyBorder="1" applyAlignment="1">
      <alignment horizontal="center" vertical="center"/>
    </xf>
    <xf numFmtId="0" fontId="17" fillId="4" borderId="14"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CD099-BA5E-4FF8-8E9C-E4B065239922}">
  <sheetPr>
    <tabColor rgb="FFFF0000"/>
    <pageSetUpPr fitToPage="1"/>
  </sheetPr>
  <dimension ref="B1:R56"/>
  <sheetViews>
    <sheetView showGridLines="0" tabSelected="1" zoomScaleNormal="100" workbookViewId="0">
      <selection activeCell="I19" sqref="I19"/>
    </sheetView>
  </sheetViews>
  <sheetFormatPr defaultRowHeight="14.4" x14ac:dyDescent="0.3"/>
  <cols>
    <col min="1" max="1" width="3.88671875" customWidth="1"/>
    <col min="2" max="2" width="3.5546875" style="14" customWidth="1"/>
    <col min="3" max="3" width="14.88671875" customWidth="1"/>
    <col min="4" max="5" width="20.77734375" style="1" customWidth="1"/>
    <col min="6" max="6" width="18.77734375" customWidth="1"/>
    <col min="7" max="7" width="20.44140625" customWidth="1"/>
    <col min="8" max="8" width="15.88671875" customWidth="1"/>
    <col min="9" max="10" width="13.77734375" customWidth="1"/>
    <col min="11" max="11" width="20.6640625" customWidth="1"/>
    <col min="12" max="12" width="16" customWidth="1"/>
    <col min="13" max="15" width="13.77734375" customWidth="1"/>
    <col min="16" max="16" width="11.6640625" customWidth="1"/>
  </cols>
  <sheetData>
    <row r="1" spans="2:18" ht="97.8" customHeight="1" x14ac:dyDescent="0.3">
      <c r="B1" s="173" t="s">
        <v>76</v>
      </c>
      <c r="C1" s="174"/>
      <c r="D1" s="174"/>
      <c r="E1" s="174"/>
      <c r="F1" s="174"/>
      <c r="G1" s="174"/>
      <c r="H1" s="174"/>
      <c r="I1" s="174"/>
      <c r="J1" s="174"/>
      <c r="K1" s="174"/>
    </row>
    <row r="2" spans="2:18" ht="108.6" customHeight="1" thickBot="1" x14ac:dyDescent="0.35">
      <c r="B2" s="178" t="s">
        <v>78</v>
      </c>
      <c r="C2" s="178"/>
      <c r="D2" s="178"/>
      <c r="E2" s="178"/>
      <c r="F2" s="178"/>
      <c r="G2" s="178"/>
      <c r="H2" s="178"/>
      <c r="I2" s="178"/>
      <c r="J2" s="178"/>
      <c r="K2" s="178"/>
      <c r="L2" s="81"/>
      <c r="M2" s="81"/>
      <c r="N2" s="81"/>
      <c r="O2" s="81"/>
    </row>
    <row r="3" spans="2:18" ht="54" customHeight="1" thickBot="1" x14ac:dyDescent="0.35">
      <c r="C3" s="192" t="s">
        <v>31</v>
      </c>
      <c r="D3" s="195" t="s">
        <v>45</v>
      </c>
      <c r="E3" s="196"/>
      <c r="F3" s="196"/>
      <c r="G3" s="197"/>
      <c r="H3" s="27"/>
      <c r="I3" s="27"/>
      <c r="J3" s="27"/>
      <c r="K3" s="27"/>
    </row>
    <row r="4" spans="2:18" ht="33.6" customHeight="1" x14ac:dyDescent="0.3">
      <c r="B4" s="25"/>
      <c r="C4" s="193"/>
      <c r="D4" s="52" t="s">
        <v>3</v>
      </c>
      <c r="E4" s="51" t="s">
        <v>17</v>
      </c>
      <c r="F4" s="156" t="s">
        <v>60</v>
      </c>
      <c r="G4" s="53" t="s">
        <v>4</v>
      </c>
      <c r="H4" s="2"/>
      <c r="I4" s="2"/>
      <c r="O4" s="23"/>
      <c r="P4" s="23"/>
      <c r="Q4" s="23"/>
      <c r="R4" s="23"/>
    </row>
    <row r="5" spans="2:18" ht="18" customHeight="1" thickBot="1" x14ac:dyDescent="0.35">
      <c r="B5" s="25"/>
      <c r="C5" s="193"/>
      <c r="D5" s="54" t="s">
        <v>10</v>
      </c>
      <c r="E5" s="33" t="s">
        <v>11</v>
      </c>
      <c r="F5" s="33" t="s">
        <v>13</v>
      </c>
      <c r="G5" s="55" t="s">
        <v>14</v>
      </c>
      <c r="H5" s="2"/>
      <c r="I5" s="2"/>
      <c r="N5" s="23"/>
      <c r="O5" s="23"/>
      <c r="P5" s="23"/>
      <c r="Q5" s="23"/>
    </row>
    <row r="6" spans="2:18" ht="17.399999999999999" customHeight="1" thickBot="1" x14ac:dyDescent="0.35">
      <c r="C6" s="193"/>
      <c r="D6" s="56" t="s">
        <v>5</v>
      </c>
      <c r="E6" s="57" t="s">
        <v>6</v>
      </c>
      <c r="F6" s="57" t="s">
        <v>7</v>
      </c>
      <c r="G6" s="58" t="s">
        <v>8</v>
      </c>
      <c r="H6" s="176" t="s">
        <v>42</v>
      </c>
      <c r="I6" s="176"/>
      <c r="J6" s="176"/>
      <c r="K6" s="177"/>
      <c r="L6" s="28"/>
      <c r="M6" s="28"/>
      <c r="N6" s="28"/>
      <c r="O6" s="28"/>
    </row>
    <row r="7" spans="2:18" s="8" customFormat="1" ht="57.6" customHeight="1" thickBot="1" x14ac:dyDescent="0.35">
      <c r="B7" s="15"/>
      <c r="C7" s="193"/>
      <c r="D7" s="49" t="s">
        <v>15</v>
      </c>
      <c r="E7" s="40" t="s">
        <v>16</v>
      </c>
      <c r="F7" s="40" t="s">
        <v>47</v>
      </c>
      <c r="G7" s="41" t="s">
        <v>2</v>
      </c>
      <c r="H7" s="86" t="s">
        <v>41</v>
      </c>
      <c r="I7" s="89" t="s">
        <v>1</v>
      </c>
      <c r="J7" s="70" t="s">
        <v>20</v>
      </c>
      <c r="K7" s="71" t="s">
        <v>21</v>
      </c>
      <c r="L7" s="29"/>
      <c r="M7" s="28"/>
      <c r="N7" s="29"/>
      <c r="O7" s="29"/>
    </row>
    <row r="8" spans="2:18" ht="76.2" customHeight="1" thickBot="1" x14ac:dyDescent="0.35">
      <c r="C8" s="193"/>
      <c r="D8" s="50" t="s">
        <v>54</v>
      </c>
      <c r="E8" s="43">
        <v>1100000</v>
      </c>
      <c r="F8" s="44">
        <v>2</v>
      </c>
      <c r="G8" s="45" t="s">
        <v>19</v>
      </c>
      <c r="H8" s="87">
        <v>0</v>
      </c>
      <c r="I8" s="90">
        <f>F8*H8</f>
        <v>0</v>
      </c>
      <c r="J8" s="83">
        <f>(H8*12)*2</f>
        <v>0</v>
      </c>
      <c r="K8" s="84">
        <f>(H8*60)*2</f>
        <v>0</v>
      </c>
      <c r="L8" s="23"/>
      <c r="M8" s="23"/>
      <c r="N8" s="23"/>
      <c r="O8" s="23"/>
    </row>
    <row r="9" spans="2:18" ht="77.400000000000006" customHeight="1" thickBot="1" x14ac:dyDescent="0.35">
      <c r="C9" s="193"/>
      <c r="D9" s="20" t="s">
        <v>55</v>
      </c>
      <c r="E9" s="17">
        <v>100000</v>
      </c>
      <c r="F9" s="18">
        <v>2</v>
      </c>
      <c r="G9" s="19" t="s">
        <v>19</v>
      </c>
      <c r="H9" s="88">
        <v>0</v>
      </c>
      <c r="I9" s="90">
        <f t="shared" ref="I9:I10" si="0">F9*H9</f>
        <v>0</v>
      </c>
      <c r="J9" s="83">
        <f t="shared" ref="J9:J10" si="1">(H9*12)*2</f>
        <v>0</v>
      </c>
      <c r="K9" s="84">
        <f t="shared" ref="K9:K10" si="2">(H9*60)*2</f>
        <v>0</v>
      </c>
      <c r="L9" s="23"/>
      <c r="M9" s="23"/>
      <c r="N9" s="23"/>
      <c r="O9" s="23"/>
    </row>
    <row r="10" spans="2:18" ht="70.8" customHeight="1" x14ac:dyDescent="0.3">
      <c r="C10" s="193"/>
      <c r="D10" s="26" t="s">
        <v>56</v>
      </c>
      <c r="E10" s="17">
        <v>52000</v>
      </c>
      <c r="F10" s="18">
        <v>2</v>
      </c>
      <c r="G10" s="19" t="s">
        <v>19</v>
      </c>
      <c r="H10" s="88">
        <v>0</v>
      </c>
      <c r="I10" s="90">
        <f t="shared" si="0"/>
        <v>0</v>
      </c>
      <c r="J10" s="83">
        <f t="shared" si="1"/>
        <v>0</v>
      </c>
      <c r="K10" s="84">
        <f t="shared" si="2"/>
        <v>0</v>
      </c>
      <c r="L10" s="23"/>
      <c r="M10" s="23"/>
      <c r="N10" s="23"/>
      <c r="O10" s="23"/>
    </row>
    <row r="11" spans="2:18" ht="21" customHeight="1" thickBot="1" x14ac:dyDescent="0.35">
      <c r="C11" s="193"/>
      <c r="D11" s="96"/>
      <c r="E11" s="97"/>
      <c r="F11" s="98"/>
      <c r="G11" s="129" t="s">
        <v>51</v>
      </c>
      <c r="H11" s="125">
        <f>SUM(H8:H10)</f>
        <v>0</v>
      </c>
      <c r="I11" s="127">
        <f>SUM(I8:I10)</f>
        <v>0</v>
      </c>
      <c r="J11" s="111">
        <f>SUM(J8:J10)</f>
        <v>0</v>
      </c>
      <c r="K11" s="112">
        <f>SUM(K8:K10)</f>
        <v>0</v>
      </c>
      <c r="L11" s="23"/>
      <c r="M11" s="23"/>
      <c r="N11" s="23"/>
      <c r="O11" s="23"/>
    </row>
    <row r="12" spans="2:18" ht="9" customHeight="1" thickBot="1" x14ac:dyDescent="0.35">
      <c r="C12" s="193"/>
      <c r="D12" s="118"/>
      <c r="E12" s="119"/>
      <c r="F12" s="120"/>
      <c r="G12" s="121"/>
      <c r="H12" s="126"/>
      <c r="I12" s="122"/>
      <c r="J12" s="123"/>
      <c r="K12" s="124"/>
      <c r="L12" s="23"/>
      <c r="M12" s="23"/>
      <c r="N12" s="23"/>
      <c r="O12" s="23"/>
    </row>
    <row r="13" spans="2:18" ht="15" thickBot="1" x14ac:dyDescent="0.35">
      <c r="C13" s="193"/>
      <c r="D13" s="113" t="s">
        <v>44</v>
      </c>
      <c r="E13" s="114" t="s">
        <v>43</v>
      </c>
      <c r="F13" s="190" t="s">
        <v>30</v>
      </c>
      <c r="G13" s="191"/>
      <c r="H13" s="100">
        <v>0</v>
      </c>
      <c r="I13" s="115"/>
      <c r="J13" s="116"/>
      <c r="K13" s="117"/>
      <c r="L13" s="30"/>
      <c r="M13" s="30"/>
      <c r="N13" s="30"/>
      <c r="O13" s="30"/>
    </row>
    <row r="14" spans="2:18" ht="15" thickBot="1" x14ac:dyDescent="0.35">
      <c r="C14" s="194"/>
      <c r="E14" s="61">
        <f>SUM(E8:E10)</f>
        <v>1252000</v>
      </c>
      <c r="F14" s="10"/>
      <c r="G14" s="130" t="s">
        <v>57</v>
      </c>
      <c r="H14" s="92">
        <f>SUM(H8:H10,H13)</f>
        <v>0</v>
      </c>
      <c r="I14" s="91">
        <f>SUM(I8:I10)</f>
        <v>0</v>
      </c>
      <c r="J14" s="91">
        <f>SUM(J8:J10)</f>
        <v>0</v>
      </c>
      <c r="K14" s="128">
        <f>SUM(K8:K10)</f>
        <v>0</v>
      </c>
      <c r="L14" s="10"/>
      <c r="M14" s="23"/>
      <c r="N14" s="23"/>
      <c r="O14" s="23"/>
    </row>
    <row r="15" spans="2:18" ht="40.799999999999997" customHeight="1" thickBot="1" x14ac:dyDescent="0.35">
      <c r="B15" s="25"/>
      <c r="C15" s="32"/>
      <c r="D15"/>
      <c r="E15"/>
      <c r="N15" s="23"/>
      <c r="O15" s="23"/>
      <c r="P15" s="23"/>
      <c r="Q15" s="23"/>
    </row>
    <row r="16" spans="2:18" ht="51" customHeight="1" thickBot="1" x14ac:dyDescent="0.35">
      <c r="C16" s="192" t="s">
        <v>32</v>
      </c>
      <c r="D16" s="195" t="s">
        <v>45</v>
      </c>
      <c r="E16" s="196"/>
      <c r="F16" s="196"/>
      <c r="G16" s="197"/>
    </row>
    <row r="17" spans="2:15" ht="34.200000000000003" customHeight="1" x14ac:dyDescent="0.3">
      <c r="B17" s="34"/>
      <c r="C17" s="193"/>
      <c r="D17" s="165" t="s">
        <v>38</v>
      </c>
      <c r="E17" s="166" t="s">
        <v>34</v>
      </c>
      <c r="F17" s="166" t="s">
        <v>9</v>
      </c>
      <c r="G17" s="167" t="s">
        <v>29</v>
      </c>
    </row>
    <row r="18" spans="2:15" ht="35.4" customHeight="1" thickBot="1" x14ac:dyDescent="0.35">
      <c r="B18" s="34"/>
      <c r="C18" s="193"/>
      <c r="D18" s="168" t="s">
        <v>37</v>
      </c>
      <c r="E18" s="169" t="s">
        <v>18</v>
      </c>
      <c r="F18" s="169" t="s">
        <v>12</v>
      </c>
      <c r="G18" s="170"/>
    </row>
    <row r="19" spans="2:15" s="10" customFormat="1" ht="16.2" customHeight="1" thickBot="1" x14ac:dyDescent="0.35">
      <c r="B19" s="34"/>
      <c r="C19" s="193"/>
      <c r="D19" s="198" t="s">
        <v>61</v>
      </c>
      <c r="E19" s="199"/>
      <c r="F19" s="200"/>
      <c r="G19" s="21"/>
      <c r="H19" s="16"/>
    </row>
    <row r="20" spans="2:15" s="10" customFormat="1" ht="27.6" customHeight="1" thickBot="1" x14ac:dyDescent="0.35">
      <c r="B20" s="34"/>
      <c r="C20" s="193"/>
      <c r="D20" s="188" t="s">
        <v>35</v>
      </c>
      <c r="E20" s="189"/>
      <c r="F20" s="78"/>
      <c r="G20" s="21"/>
      <c r="H20" s="16"/>
    </row>
    <row r="21" spans="2:15" ht="28.2" customHeight="1" thickBot="1" x14ac:dyDescent="0.35">
      <c r="B21" s="34"/>
      <c r="C21" s="193"/>
      <c r="D21" s="188" t="s">
        <v>36</v>
      </c>
      <c r="E21" s="189"/>
      <c r="F21" s="79"/>
      <c r="H21" s="3"/>
    </row>
    <row r="22" spans="2:15" s="10" customFormat="1" ht="32.4" customHeight="1" thickBot="1" x14ac:dyDescent="0.35">
      <c r="B22" s="22"/>
      <c r="C22" s="193"/>
      <c r="D22" s="188" t="s">
        <v>39</v>
      </c>
      <c r="E22" s="189"/>
      <c r="F22" s="80"/>
      <c r="G22" s="76" t="s">
        <v>46</v>
      </c>
      <c r="H22" s="201" t="s">
        <v>42</v>
      </c>
      <c r="I22" s="202"/>
      <c r="J22" s="202"/>
      <c r="K22" s="203"/>
      <c r="L22" s="28"/>
      <c r="M22" s="28"/>
      <c r="N22" s="28"/>
      <c r="O22" s="28"/>
    </row>
    <row r="23" spans="2:15" s="8" customFormat="1" ht="58.2" customHeight="1" thickBot="1" x14ac:dyDescent="0.35">
      <c r="B23" s="15"/>
      <c r="C23" s="193"/>
      <c r="D23" s="39" t="s">
        <v>15</v>
      </c>
      <c r="E23" s="40" t="s">
        <v>22</v>
      </c>
      <c r="F23" s="40" t="s">
        <v>47</v>
      </c>
      <c r="G23" s="59" t="s">
        <v>2</v>
      </c>
      <c r="H23" s="42" t="s">
        <v>41</v>
      </c>
      <c r="I23" s="69" t="s">
        <v>1</v>
      </c>
      <c r="J23" s="70" t="s">
        <v>20</v>
      </c>
      <c r="K23" s="71" t="s">
        <v>21</v>
      </c>
      <c r="L23" s="29"/>
      <c r="M23" s="28"/>
      <c r="N23" s="29"/>
      <c r="O23" s="29"/>
    </row>
    <row r="24" spans="2:15" ht="74.400000000000006" customHeight="1" x14ac:dyDescent="0.3">
      <c r="C24" s="193"/>
      <c r="D24" s="60" t="s">
        <v>54</v>
      </c>
      <c r="E24" s="36">
        <v>1100000</v>
      </c>
      <c r="F24" s="37">
        <v>1</v>
      </c>
      <c r="G24" s="38" t="s">
        <v>19</v>
      </c>
      <c r="H24" s="82">
        <v>0</v>
      </c>
      <c r="I24" s="83">
        <f>F24*H24</f>
        <v>0</v>
      </c>
      <c r="J24" s="83">
        <f>H24*12</f>
        <v>0</v>
      </c>
      <c r="K24" s="84">
        <f>H24*60</f>
        <v>0</v>
      </c>
      <c r="L24" s="23"/>
      <c r="M24" s="23"/>
      <c r="N24" s="23"/>
      <c r="O24" s="23"/>
    </row>
    <row r="25" spans="2:15" ht="72" x14ac:dyDescent="0.3">
      <c r="C25" s="193"/>
      <c r="D25" s="46" t="s">
        <v>55</v>
      </c>
      <c r="E25" s="17">
        <v>100000</v>
      </c>
      <c r="F25" s="18">
        <v>1</v>
      </c>
      <c r="G25" s="19" t="s">
        <v>19</v>
      </c>
      <c r="H25" s="85">
        <v>0</v>
      </c>
      <c r="I25" s="93">
        <f t="shared" ref="I25:I26" si="3">F25*H25</f>
        <v>0</v>
      </c>
      <c r="J25" s="93">
        <f t="shared" ref="J25:J26" si="4">H25*12</f>
        <v>0</v>
      </c>
      <c r="K25" s="94">
        <f t="shared" ref="K25:K26" si="5">H25*60</f>
        <v>0</v>
      </c>
      <c r="L25" s="23"/>
      <c r="M25" s="23"/>
      <c r="N25" s="23"/>
      <c r="O25" s="23"/>
    </row>
    <row r="26" spans="2:15" ht="78" customHeight="1" x14ac:dyDescent="0.3">
      <c r="C26" s="193"/>
      <c r="D26" s="46" t="s">
        <v>56</v>
      </c>
      <c r="E26" s="17">
        <v>52000</v>
      </c>
      <c r="F26" s="18">
        <v>1</v>
      </c>
      <c r="G26" s="19" t="s">
        <v>19</v>
      </c>
      <c r="H26" s="85">
        <v>0</v>
      </c>
      <c r="I26" s="93">
        <f t="shared" si="3"/>
        <v>0</v>
      </c>
      <c r="J26" s="93">
        <f t="shared" si="4"/>
        <v>0</v>
      </c>
      <c r="K26" s="94">
        <f t="shared" si="5"/>
        <v>0</v>
      </c>
      <c r="L26" s="23"/>
      <c r="M26" s="23"/>
      <c r="N26" s="23"/>
      <c r="O26" s="23"/>
    </row>
    <row r="27" spans="2:15" ht="19.2" customHeight="1" thickBot="1" x14ac:dyDescent="0.35">
      <c r="C27" s="193"/>
      <c r="D27" s="96"/>
      <c r="E27" s="97"/>
      <c r="F27" s="98"/>
      <c r="G27" s="129" t="s">
        <v>51</v>
      </c>
      <c r="H27" s="104">
        <f>SUM(H24:H26)</f>
        <v>0</v>
      </c>
      <c r="I27" s="74">
        <f>SUM(I24:I26)</f>
        <v>0</v>
      </c>
      <c r="J27" s="74">
        <f>SUM(J24:J26)</f>
        <v>0</v>
      </c>
      <c r="K27" s="75">
        <f>SUM(K24:K26)</f>
        <v>0</v>
      </c>
      <c r="L27" s="23"/>
      <c r="M27" s="23"/>
      <c r="N27" s="23"/>
      <c r="O27" s="23"/>
    </row>
    <row r="28" spans="2:15" ht="10.8" customHeight="1" thickBot="1" x14ac:dyDescent="0.35">
      <c r="C28" s="193"/>
      <c r="D28" s="96"/>
      <c r="E28" s="97"/>
      <c r="F28" s="98"/>
      <c r="G28" s="99"/>
      <c r="H28" s="101"/>
      <c r="I28" s="102"/>
      <c r="J28" s="102"/>
      <c r="K28" s="103"/>
      <c r="L28" s="23"/>
      <c r="M28" s="23"/>
      <c r="N28" s="23"/>
      <c r="O28" s="23"/>
    </row>
    <row r="29" spans="2:15" ht="15" thickBot="1" x14ac:dyDescent="0.35">
      <c r="C29" s="193"/>
      <c r="D29" s="47" t="s">
        <v>44</v>
      </c>
      <c r="E29" s="48" t="s">
        <v>43</v>
      </c>
      <c r="F29" s="186" t="s">
        <v>30</v>
      </c>
      <c r="G29" s="187"/>
      <c r="H29" s="147">
        <v>0</v>
      </c>
      <c r="I29" s="148"/>
      <c r="J29" s="149"/>
      <c r="K29" s="150"/>
      <c r="L29" s="30"/>
      <c r="M29" s="23"/>
      <c r="N29" s="23"/>
      <c r="O29" s="23"/>
    </row>
    <row r="30" spans="2:15" ht="15" thickBot="1" x14ac:dyDescent="0.35">
      <c r="C30" s="194"/>
      <c r="E30" s="61">
        <f>SUM(E24:E26)</f>
        <v>1252000</v>
      </c>
      <c r="F30" s="10"/>
      <c r="G30" s="130" t="s">
        <v>52</v>
      </c>
      <c r="H30" s="92">
        <f>SUM(H24:H26,H29)</f>
        <v>0</v>
      </c>
      <c r="I30" s="151">
        <f>SUM(I24:I26)</f>
        <v>0</v>
      </c>
      <c r="J30" s="72">
        <f t="shared" ref="J30:K30" si="6">SUM(J24:J26)</f>
        <v>0</v>
      </c>
      <c r="K30" s="73">
        <f t="shared" si="6"/>
        <v>0</v>
      </c>
      <c r="L30" s="10"/>
      <c r="M30" s="23"/>
      <c r="N30" s="23"/>
      <c r="O30" s="23"/>
    </row>
    <row r="31" spans="2:15" x14ac:dyDescent="0.3">
      <c r="E31" s="9"/>
      <c r="F31" s="10"/>
      <c r="G31" s="10"/>
      <c r="H31" s="10"/>
      <c r="J31" s="10"/>
      <c r="K31" s="11"/>
      <c r="L31" s="11"/>
      <c r="M31" s="11"/>
    </row>
    <row r="32" spans="2:15" x14ac:dyDescent="0.3">
      <c r="E32" s="9"/>
      <c r="F32" s="10"/>
      <c r="G32" s="10"/>
      <c r="H32" s="10"/>
      <c r="I32" s="10"/>
      <c r="J32" s="10"/>
      <c r="K32" s="11"/>
      <c r="L32" s="11"/>
      <c r="M32" s="11"/>
    </row>
    <row r="33" spans="3:16" ht="15" thickBot="1" x14ac:dyDescent="0.35">
      <c r="E33" s="9"/>
      <c r="F33" s="10"/>
      <c r="G33" s="10"/>
      <c r="H33" s="10"/>
      <c r="I33" s="10"/>
      <c r="J33" s="11"/>
      <c r="K33" s="11"/>
      <c r="L33" s="11"/>
    </row>
    <row r="34" spans="3:16" ht="15" thickBot="1" x14ac:dyDescent="0.35">
      <c r="C34" s="175" t="s">
        <v>42</v>
      </c>
      <c r="D34" s="176"/>
      <c r="E34" s="176"/>
      <c r="F34" s="177"/>
      <c r="G34" s="10"/>
    </row>
    <row r="35" spans="3:16" ht="14.4" customHeight="1" x14ac:dyDescent="0.3">
      <c r="C35" s="62" t="s">
        <v>53</v>
      </c>
      <c r="D35" s="68"/>
      <c r="E35" s="63" t="s">
        <v>26</v>
      </c>
      <c r="F35" s="64" t="s">
        <v>0</v>
      </c>
      <c r="P35" s="135"/>
    </row>
    <row r="36" spans="3:16" x14ac:dyDescent="0.3">
      <c r="C36" s="182" t="s">
        <v>23</v>
      </c>
      <c r="D36" s="183"/>
      <c r="E36" s="12" t="s">
        <v>27</v>
      </c>
      <c r="F36" s="24">
        <v>0</v>
      </c>
      <c r="P36" s="135"/>
    </row>
    <row r="37" spans="3:16" ht="14.4" customHeight="1" x14ac:dyDescent="0.3">
      <c r="C37" s="182" t="s">
        <v>24</v>
      </c>
      <c r="D37" s="183"/>
      <c r="E37" s="12" t="s">
        <v>27</v>
      </c>
      <c r="F37" s="24">
        <v>0</v>
      </c>
    </row>
    <row r="38" spans="3:16" x14ac:dyDescent="0.3">
      <c r="C38" s="182" t="s">
        <v>25</v>
      </c>
      <c r="D38" s="183"/>
      <c r="E38" s="12" t="s">
        <v>27</v>
      </c>
      <c r="F38" s="24">
        <v>0</v>
      </c>
    </row>
    <row r="39" spans="3:16" ht="30" customHeight="1" x14ac:dyDescent="0.3">
      <c r="C39" s="182" t="s">
        <v>33</v>
      </c>
      <c r="D39" s="183"/>
      <c r="E39" s="12" t="s">
        <v>27</v>
      </c>
      <c r="F39" s="24">
        <v>0</v>
      </c>
    </row>
    <row r="40" spans="3:16" ht="17.399999999999999" customHeight="1" thickBot="1" x14ac:dyDescent="0.35">
      <c r="C40" s="184" t="s">
        <v>40</v>
      </c>
      <c r="D40" s="185"/>
      <c r="E40" s="65" t="s">
        <v>27</v>
      </c>
      <c r="F40" s="77">
        <v>0</v>
      </c>
      <c r="I40" s="11"/>
      <c r="J40" s="11"/>
      <c r="K40" s="11"/>
    </row>
    <row r="41" spans="3:16" ht="15" thickBot="1" x14ac:dyDescent="0.35">
      <c r="D41"/>
      <c r="E41" s="66" t="s">
        <v>28</v>
      </c>
      <c r="F41" s="67">
        <f>SUM(F36:F40)</f>
        <v>0</v>
      </c>
      <c r="I41" s="11"/>
      <c r="J41" s="11"/>
      <c r="K41" s="11"/>
    </row>
    <row r="42" spans="3:16" x14ac:dyDescent="0.3">
      <c r="E42" s="9"/>
      <c r="F42" s="10"/>
      <c r="G42" s="10"/>
      <c r="H42" s="10"/>
      <c r="I42" s="10"/>
      <c r="J42" s="11"/>
      <c r="K42" s="11"/>
      <c r="L42" s="11"/>
    </row>
    <row r="43" spans="3:16" ht="15" thickBot="1" x14ac:dyDescent="0.35"/>
    <row r="44" spans="3:16" ht="29.4" thickBot="1" x14ac:dyDescent="0.35">
      <c r="C44" s="10"/>
      <c r="D44" s="10"/>
      <c r="E44" s="11"/>
      <c r="F44" s="95" t="s">
        <v>58</v>
      </c>
      <c r="G44" s="136" t="s">
        <v>59</v>
      </c>
      <c r="H44" s="89" t="s">
        <v>1</v>
      </c>
      <c r="I44" s="70" t="s">
        <v>20</v>
      </c>
      <c r="J44" s="71" t="s">
        <v>21</v>
      </c>
    </row>
    <row r="45" spans="3:16" x14ac:dyDescent="0.3">
      <c r="C45" s="105" t="s">
        <v>48</v>
      </c>
      <c r="D45" s="106"/>
      <c r="E45" s="107"/>
      <c r="F45" s="110">
        <f>H11</f>
        <v>0</v>
      </c>
      <c r="G45" s="139">
        <f>H13</f>
        <v>0</v>
      </c>
      <c r="H45" s="142">
        <f>I11</f>
        <v>0</v>
      </c>
      <c r="I45" s="134">
        <f>J11</f>
        <v>0</v>
      </c>
      <c r="J45" s="131">
        <f>K11</f>
        <v>0</v>
      </c>
    </row>
    <row r="46" spans="3:16" x14ac:dyDescent="0.3">
      <c r="C46" s="108" t="s">
        <v>49</v>
      </c>
      <c r="D46" s="13"/>
      <c r="E46" s="31"/>
      <c r="F46" s="109">
        <f>H27</f>
        <v>0</v>
      </c>
      <c r="G46" s="140">
        <f>H29</f>
        <v>0</v>
      </c>
      <c r="H46" s="143">
        <f>I27</f>
        <v>0</v>
      </c>
      <c r="I46" s="133">
        <f>J27</f>
        <v>0</v>
      </c>
      <c r="J46" s="132">
        <f>K27</f>
        <v>0</v>
      </c>
    </row>
    <row r="47" spans="3:16" ht="15" thickBot="1" x14ac:dyDescent="0.35">
      <c r="C47" s="179" t="s">
        <v>50</v>
      </c>
      <c r="D47" s="180"/>
      <c r="E47" s="181"/>
      <c r="F47" s="137">
        <f>F41</f>
        <v>0</v>
      </c>
      <c r="G47" s="152"/>
      <c r="H47" s="153"/>
      <c r="I47" s="154"/>
      <c r="J47" s="155"/>
    </row>
    <row r="48" spans="3:16" ht="15" thickBot="1" x14ac:dyDescent="0.35">
      <c r="D48" s="11"/>
      <c r="E48" s="11"/>
      <c r="F48" s="138">
        <f>SUM(F45:F47)</f>
        <v>0</v>
      </c>
      <c r="G48" s="141">
        <f>SUM(G45:G47)</f>
        <v>0</v>
      </c>
      <c r="H48" s="144">
        <f t="shared" ref="H48:J48" si="7">SUM(H45:H47)</f>
        <v>0</v>
      </c>
      <c r="I48" s="145">
        <f t="shared" si="7"/>
        <v>0</v>
      </c>
      <c r="J48" s="146">
        <f t="shared" si="7"/>
        <v>0</v>
      </c>
    </row>
    <row r="49" spans="4:7" ht="15" thickBot="1" x14ac:dyDescent="0.35">
      <c r="D49" s="11"/>
      <c r="E49" s="11"/>
      <c r="F49" s="171">
        <f>SUM(F48:G48)</f>
        <v>0</v>
      </c>
      <c r="G49" s="172"/>
    </row>
    <row r="50" spans="4:7" x14ac:dyDescent="0.3">
      <c r="D50" s="2"/>
      <c r="E50" s="2"/>
      <c r="F50" s="3"/>
      <c r="G50" s="3"/>
    </row>
    <row r="51" spans="4:7" x14ac:dyDescent="0.3">
      <c r="D51" s="2"/>
      <c r="E51" s="2"/>
      <c r="F51" s="3"/>
      <c r="G51" s="3"/>
    </row>
    <row r="52" spans="4:7" x14ac:dyDescent="0.3">
      <c r="D52" s="2"/>
      <c r="E52" s="2"/>
      <c r="F52" s="3"/>
      <c r="G52" s="3"/>
    </row>
    <row r="53" spans="4:7" x14ac:dyDescent="0.3">
      <c r="D53" s="2"/>
      <c r="E53" s="2"/>
      <c r="F53" s="3"/>
      <c r="G53" s="3"/>
    </row>
    <row r="54" spans="4:7" x14ac:dyDescent="0.3">
      <c r="D54" s="4"/>
      <c r="E54" s="4"/>
      <c r="F54" s="5"/>
      <c r="G54" s="5"/>
    </row>
    <row r="55" spans="4:7" x14ac:dyDescent="0.3">
      <c r="D55" s="6"/>
      <c r="E55" s="6"/>
      <c r="F55" s="7"/>
      <c r="G55" s="7"/>
    </row>
    <row r="56" spans="4:7" x14ac:dyDescent="0.3">
      <c r="D56" s="6"/>
      <c r="E56" s="6"/>
      <c r="F56" s="7"/>
      <c r="G56" s="7"/>
    </row>
  </sheetData>
  <mergeCells count="22">
    <mergeCell ref="H6:K6"/>
    <mergeCell ref="D16:G16"/>
    <mergeCell ref="C16:C30"/>
    <mergeCell ref="D22:E22"/>
    <mergeCell ref="D19:F19"/>
    <mergeCell ref="H22:K22"/>
    <mergeCell ref="F49:G49"/>
    <mergeCell ref="B1:K1"/>
    <mergeCell ref="C34:F34"/>
    <mergeCell ref="B2:K2"/>
    <mergeCell ref="C47:E47"/>
    <mergeCell ref="C36:D36"/>
    <mergeCell ref="C37:D37"/>
    <mergeCell ref="C38:D38"/>
    <mergeCell ref="C39:D39"/>
    <mergeCell ref="C40:D40"/>
    <mergeCell ref="F29:G29"/>
    <mergeCell ref="D20:E20"/>
    <mergeCell ref="D21:E21"/>
    <mergeCell ref="F13:G13"/>
    <mergeCell ref="C3:C14"/>
    <mergeCell ref="D3:G3"/>
  </mergeCells>
  <printOptions horizontalCentered="1"/>
  <pageMargins left="0.25" right="0.25" top="0.75" bottom="0.75" header="0.3" footer="0.3"/>
  <pageSetup scale="53" fitToWidth="2" fitToHeight="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F1B8B257-39AA-47F7-861A-9249B303FE00}">
          <x14:formula1>
            <xm:f>'Employee-Vehicle List'!$A$7:$A$8</xm:f>
          </x14:formula1>
          <xm:sqref>F20:F22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260F-5B0F-48C0-8C56-08237181A781}">
  <sheetPr>
    <tabColor rgb="FF00B050"/>
    <pageSetUpPr fitToPage="1"/>
  </sheetPr>
  <dimension ref="A2:G59"/>
  <sheetViews>
    <sheetView showGridLines="0" topLeftCell="B1" workbookViewId="0">
      <selection activeCell="K5" sqref="K5"/>
    </sheetView>
  </sheetViews>
  <sheetFormatPr defaultColWidth="12.33203125" defaultRowHeight="14.4" x14ac:dyDescent="0.3"/>
  <cols>
    <col min="1" max="1" width="0" hidden="1" customWidth="1"/>
    <col min="3" max="3" width="37.77734375" customWidth="1"/>
    <col min="4" max="4" width="22.88671875" customWidth="1"/>
    <col min="5" max="6" width="27.44140625" customWidth="1"/>
    <col min="7" max="7" width="38.5546875" customWidth="1"/>
  </cols>
  <sheetData>
    <row r="2" spans="1:7" ht="28.8" customHeight="1" thickBot="1" x14ac:dyDescent="0.35">
      <c r="C2" s="159" t="s">
        <v>68</v>
      </c>
      <c r="D2" s="158"/>
      <c r="E2" s="158"/>
      <c r="F2" s="158"/>
      <c r="G2" s="158"/>
    </row>
    <row r="3" spans="1:7" ht="26.4" customHeight="1" thickBot="1" x14ac:dyDescent="0.35">
      <c r="B3" s="205"/>
      <c r="C3" s="205"/>
      <c r="D3" s="205"/>
      <c r="E3" t="s">
        <v>66</v>
      </c>
      <c r="G3" s="157"/>
    </row>
    <row r="4" spans="1:7" ht="26.4" customHeight="1" thickBot="1" x14ac:dyDescent="0.35">
      <c r="C4" s="204" t="s">
        <v>67</v>
      </c>
      <c r="D4" s="204"/>
    </row>
    <row r="5" spans="1:7" ht="26.4" customHeight="1" thickBot="1" x14ac:dyDescent="0.35">
      <c r="B5" s="209" t="s">
        <v>72</v>
      </c>
      <c r="C5" s="210"/>
      <c r="D5" s="210"/>
      <c r="E5" s="210"/>
      <c r="F5" s="210"/>
      <c r="G5" s="211"/>
    </row>
    <row r="6" spans="1:7" ht="43.8" thickBot="1" x14ac:dyDescent="0.35">
      <c r="B6" s="161"/>
      <c r="C6" s="162" t="s">
        <v>62</v>
      </c>
      <c r="D6" s="162" t="s">
        <v>63</v>
      </c>
      <c r="E6" s="164" t="s">
        <v>74</v>
      </c>
      <c r="F6" s="164" t="s">
        <v>75</v>
      </c>
      <c r="G6" s="163" t="s">
        <v>77</v>
      </c>
    </row>
    <row r="7" spans="1:7" x14ac:dyDescent="0.3">
      <c r="A7" t="s">
        <v>64</v>
      </c>
      <c r="B7">
        <v>1</v>
      </c>
      <c r="C7" s="160"/>
      <c r="D7" s="160"/>
      <c r="E7" s="160"/>
      <c r="F7" s="160"/>
      <c r="G7" s="160"/>
    </row>
    <row r="8" spans="1:7" x14ac:dyDescent="0.3">
      <c r="A8" t="s">
        <v>65</v>
      </c>
      <c r="B8">
        <v>2</v>
      </c>
      <c r="C8" s="35"/>
      <c r="D8" s="35"/>
      <c r="E8" s="35"/>
      <c r="F8" s="35"/>
      <c r="G8" s="35"/>
    </row>
    <row r="9" spans="1:7" x14ac:dyDescent="0.3">
      <c r="B9">
        <v>3</v>
      </c>
      <c r="C9" s="35"/>
      <c r="D9" s="35"/>
      <c r="E9" s="35"/>
      <c r="F9" s="35"/>
      <c r="G9" s="35"/>
    </row>
    <row r="10" spans="1:7" x14ac:dyDescent="0.3">
      <c r="B10">
        <v>4</v>
      </c>
      <c r="C10" s="35"/>
      <c r="D10" s="35"/>
      <c r="E10" s="35"/>
      <c r="F10" s="35"/>
      <c r="G10" s="35"/>
    </row>
    <row r="11" spans="1:7" x14ac:dyDescent="0.3">
      <c r="B11">
        <v>5</v>
      </c>
      <c r="C11" s="35"/>
      <c r="D11" s="35"/>
      <c r="E11" s="35"/>
      <c r="F11" s="35"/>
      <c r="G11" s="35"/>
    </row>
    <row r="12" spans="1:7" x14ac:dyDescent="0.3">
      <c r="B12">
        <v>6</v>
      </c>
      <c r="C12" s="35"/>
      <c r="D12" s="35"/>
      <c r="E12" s="35"/>
      <c r="F12" s="35"/>
      <c r="G12" s="35"/>
    </row>
    <row r="13" spans="1:7" x14ac:dyDescent="0.3">
      <c r="B13">
        <v>7</v>
      </c>
      <c r="C13" s="35"/>
      <c r="D13" s="35"/>
      <c r="E13" s="35"/>
      <c r="F13" s="35"/>
      <c r="G13" s="35"/>
    </row>
    <row r="14" spans="1:7" x14ac:dyDescent="0.3">
      <c r="B14">
        <v>8</v>
      </c>
      <c r="C14" s="35"/>
      <c r="D14" s="35"/>
      <c r="E14" s="35"/>
      <c r="F14" s="35"/>
      <c r="G14" s="35"/>
    </row>
    <row r="15" spans="1:7" x14ac:dyDescent="0.3">
      <c r="B15">
        <v>9</v>
      </c>
      <c r="C15" s="35"/>
      <c r="D15" s="35"/>
      <c r="E15" s="35"/>
      <c r="F15" s="35"/>
      <c r="G15" s="35"/>
    </row>
    <row r="16" spans="1:7" x14ac:dyDescent="0.3">
      <c r="B16">
        <v>10</v>
      </c>
      <c r="C16" s="35"/>
      <c r="D16" s="35"/>
      <c r="E16" s="35"/>
      <c r="F16" s="35"/>
      <c r="G16" s="35"/>
    </row>
    <row r="17" spans="2:7" x14ac:dyDescent="0.3">
      <c r="B17">
        <v>11</v>
      </c>
      <c r="C17" s="35"/>
      <c r="D17" s="35"/>
      <c r="E17" s="35"/>
      <c r="F17" s="35"/>
      <c r="G17" s="35"/>
    </row>
    <row r="18" spans="2:7" x14ac:dyDescent="0.3">
      <c r="B18">
        <v>12</v>
      </c>
      <c r="C18" s="35"/>
      <c r="D18" s="35"/>
      <c r="E18" s="35"/>
      <c r="F18" s="35"/>
      <c r="G18" s="35"/>
    </row>
    <row r="19" spans="2:7" x14ac:dyDescent="0.3">
      <c r="B19">
        <v>13</v>
      </c>
      <c r="C19" s="35"/>
      <c r="D19" s="35"/>
      <c r="E19" s="35"/>
      <c r="F19" s="35"/>
      <c r="G19" s="35"/>
    </row>
    <row r="20" spans="2:7" x14ac:dyDescent="0.3">
      <c r="B20">
        <v>14</v>
      </c>
      <c r="C20" s="35"/>
      <c r="D20" s="35"/>
      <c r="E20" s="35"/>
      <c r="F20" s="35"/>
      <c r="G20" s="35"/>
    </row>
    <row r="21" spans="2:7" x14ac:dyDescent="0.3">
      <c r="B21">
        <v>15</v>
      </c>
      <c r="C21" s="35"/>
      <c r="D21" s="35"/>
      <c r="E21" s="35"/>
      <c r="F21" s="35"/>
      <c r="G21" s="35"/>
    </row>
    <row r="22" spans="2:7" x14ac:dyDescent="0.3">
      <c r="B22">
        <v>16</v>
      </c>
      <c r="C22" s="35"/>
      <c r="D22" s="35"/>
      <c r="E22" s="35"/>
      <c r="F22" s="35"/>
      <c r="G22" s="35"/>
    </row>
    <row r="23" spans="2:7" x14ac:dyDescent="0.3">
      <c r="B23">
        <v>17</v>
      </c>
      <c r="C23" s="35"/>
      <c r="D23" s="35"/>
      <c r="E23" s="35"/>
      <c r="F23" s="35"/>
      <c r="G23" s="35"/>
    </row>
    <row r="24" spans="2:7" x14ac:dyDescent="0.3">
      <c r="B24">
        <v>18</v>
      </c>
      <c r="C24" s="35"/>
      <c r="D24" s="35"/>
      <c r="E24" s="35"/>
      <c r="F24" s="35"/>
      <c r="G24" s="35"/>
    </row>
    <row r="25" spans="2:7" x14ac:dyDescent="0.3">
      <c r="B25">
        <v>19</v>
      </c>
      <c r="C25" s="35"/>
      <c r="D25" s="35"/>
      <c r="E25" s="35"/>
      <c r="F25" s="35"/>
      <c r="G25" s="35"/>
    </row>
    <row r="26" spans="2:7" x14ac:dyDescent="0.3">
      <c r="B26">
        <v>20</v>
      </c>
      <c r="C26" s="35"/>
      <c r="D26" s="35"/>
      <c r="E26" s="35"/>
      <c r="F26" s="35"/>
      <c r="G26" s="35"/>
    </row>
    <row r="27" spans="2:7" x14ac:dyDescent="0.3">
      <c r="B27">
        <v>21</v>
      </c>
      <c r="C27" s="35"/>
      <c r="D27" s="35"/>
      <c r="E27" s="35"/>
      <c r="F27" s="35"/>
      <c r="G27" s="35"/>
    </row>
    <row r="28" spans="2:7" x14ac:dyDescent="0.3">
      <c r="B28">
        <v>22</v>
      </c>
      <c r="C28" s="35"/>
      <c r="D28" s="35"/>
      <c r="E28" s="35"/>
      <c r="F28" s="35"/>
      <c r="G28" s="35"/>
    </row>
    <row r="39" spans="2:6" ht="15" thickBot="1" x14ac:dyDescent="0.35"/>
    <row r="40" spans="2:6" ht="51" customHeight="1" thickBot="1" x14ac:dyDescent="0.35">
      <c r="B40" s="10"/>
      <c r="C40" s="206" t="s">
        <v>73</v>
      </c>
      <c r="D40" s="207"/>
      <c r="E40" s="208"/>
    </row>
    <row r="41" spans="2:6" ht="15" thickBot="1" x14ac:dyDescent="0.35">
      <c r="B41" s="10"/>
      <c r="C41" s="161" t="s">
        <v>69</v>
      </c>
      <c r="D41" s="162" t="s">
        <v>70</v>
      </c>
      <c r="E41" s="163" t="s">
        <v>71</v>
      </c>
      <c r="F41" s="8"/>
    </row>
    <row r="42" spans="2:6" x14ac:dyDescent="0.3">
      <c r="B42">
        <v>1</v>
      </c>
      <c r="C42" s="160"/>
      <c r="D42" s="160"/>
      <c r="E42" s="160"/>
    </row>
    <row r="43" spans="2:6" x14ac:dyDescent="0.3">
      <c r="B43">
        <v>2</v>
      </c>
      <c r="C43" s="35"/>
      <c r="D43" s="35"/>
      <c r="E43" s="35"/>
    </row>
    <row r="44" spans="2:6" x14ac:dyDescent="0.3">
      <c r="B44">
        <v>3</v>
      </c>
      <c r="C44" s="35"/>
      <c r="D44" s="35"/>
      <c r="E44" s="35"/>
    </row>
    <row r="45" spans="2:6" x14ac:dyDescent="0.3">
      <c r="B45">
        <v>4</v>
      </c>
      <c r="C45" s="35"/>
      <c r="D45" s="35"/>
      <c r="E45" s="35"/>
    </row>
    <row r="46" spans="2:6" x14ac:dyDescent="0.3">
      <c r="B46">
        <v>5</v>
      </c>
      <c r="C46" s="35"/>
      <c r="D46" s="35"/>
      <c r="E46" s="35"/>
    </row>
    <row r="47" spans="2:6" x14ac:dyDescent="0.3">
      <c r="B47">
        <v>6</v>
      </c>
      <c r="C47" s="35"/>
      <c r="D47" s="35"/>
      <c r="E47" s="35"/>
    </row>
    <row r="48" spans="2:6" x14ac:dyDescent="0.3">
      <c r="B48">
        <v>7</v>
      </c>
      <c r="C48" s="35"/>
      <c r="D48" s="35"/>
      <c r="E48" s="35"/>
    </row>
    <row r="49" spans="2:5" x14ac:dyDescent="0.3">
      <c r="B49">
        <v>8</v>
      </c>
      <c r="C49" s="35"/>
      <c r="D49" s="35"/>
      <c r="E49" s="35"/>
    </row>
    <row r="50" spans="2:5" x14ac:dyDescent="0.3">
      <c r="B50">
        <v>9</v>
      </c>
      <c r="C50" s="35"/>
      <c r="D50" s="35"/>
      <c r="E50" s="35"/>
    </row>
    <row r="51" spans="2:5" x14ac:dyDescent="0.3">
      <c r="B51">
        <v>10</v>
      </c>
      <c r="C51" s="35"/>
      <c r="D51" s="35"/>
      <c r="E51" s="35"/>
    </row>
    <row r="52" spans="2:5" x14ac:dyDescent="0.3">
      <c r="B52">
        <v>11</v>
      </c>
      <c r="C52" s="35"/>
      <c r="D52" s="35"/>
      <c r="E52" s="35"/>
    </row>
    <row r="53" spans="2:5" x14ac:dyDescent="0.3">
      <c r="B53">
        <v>12</v>
      </c>
      <c r="C53" s="35"/>
      <c r="D53" s="35"/>
      <c r="E53" s="35"/>
    </row>
    <row r="54" spans="2:5" x14ac:dyDescent="0.3">
      <c r="B54">
        <v>13</v>
      </c>
      <c r="C54" s="35"/>
      <c r="D54" s="35"/>
      <c r="E54" s="35"/>
    </row>
    <row r="55" spans="2:5" x14ac:dyDescent="0.3">
      <c r="B55">
        <v>14</v>
      </c>
      <c r="C55" s="35"/>
      <c r="D55" s="35"/>
      <c r="E55" s="35"/>
    </row>
    <row r="56" spans="2:5" x14ac:dyDescent="0.3">
      <c r="B56">
        <v>15</v>
      </c>
      <c r="C56" s="35"/>
      <c r="D56" s="35"/>
      <c r="E56" s="35"/>
    </row>
    <row r="57" spans="2:5" x14ac:dyDescent="0.3">
      <c r="B57">
        <v>16</v>
      </c>
      <c r="C57" s="35"/>
      <c r="D57" s="35"/>
      <c r="E57" s="35"/>
    </row>
    <row r="58" spans="2:5" x14ac:dyDescent="0.3">
      <c r="B58">
        <v>17</v>
      </c>
      <c r="C58" s="35"/>
      <c r="D58" s="35"/>
      <c r="E58" s="35"/>
    </row>
    <row r="59" spans="2:5" x14ac:dyDescent="0.3">
      <c r="B59">
        <v>18</v>
      </c>
      <c r="C59" s="35"/>
      <c r="D59" s="35"/>
      <c r="E59" s="35"/>
    </row>
  </sheetData>
  <mergeCells count="4">
    <mergeCell ref="C4:D4"/>
    <mergeCell ref="B3:D3"/>
    <mergeCell ref="C40:E40"/>
    <mergeCell ref="B5:G5"/>
  </mergeCells>
  <dataValidations count="1">
    <dataValidation type="list" allowBlank="1" showInputMessage="1" showErrorMessage="1" sqref="E7:F28 G3" xr:uid="{7C1BE82C-0245-4E9C-9BD6-F82CBB1B5AD2}">
      <formula1>$A$7:$A$8</formula1>
    </dataValidation>
  </dataValidations>
  <pageMargins left="0.7" right="0.7" top="0.75" bottom="0.75" header="0.3" footer="0.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Price Form</vt:lpstr>
      <vt:lpstr>Employee-Vehicle List</vt:lpstr>
      <vt:lpstr>'Price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Frezetta.Brown@detroitmi.gov</dc:creator>
  <cp:lastModifiedBy>Frezetta Brown</cp:lastModifiedBy>
  <cp:lastPrinted>2026-01-29T15:07:52Z</cp:lastPrinted>
  <dcterms:created xsi:type="dcterms:W3CDTF">2025-12-16T14:27:33Z</dcterms:created>
  <dcterms:modified xsi:type="dcterms:W3CDTF">2026-01-30T12:48:03Z</dcterms:modified>
</cp:coreProperties>
</file>