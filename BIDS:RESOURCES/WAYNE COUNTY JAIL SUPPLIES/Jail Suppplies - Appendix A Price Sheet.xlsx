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pgpro-my.sharepoint.com/personal/jeremy_pcg-pro_com/Documents/Active Projects/Wayne County/IFB - 37-26-019 - Various supplies for JAILS/"/>
    </mc:Choice>
  </mc:AlternateContent>
  <xr:revisionPtr revIDLastSave="87" documentId="8_{7BF09B54-3F7D-436E-A61E-F017E03E9DE2}" xr6:coauthVersionLast="47" xr6:coauthVersionMax="47" xr10:uidLastSave="{16B96077-9A1A-43B5-BBF0-75E303162839}"/>
  <bookViews>
    <workbookView xWindow="47880" yWindow="-120" windowWidth="29040" windowHeight="15720" xr2:uid="{051FB5DC-2E0E-458A-9D2F-4FB866D34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E45" i="1"/>
  <c r="E46" i="1"/>
  <c r="E47" i="1"/>
  <c r="E44" i="1"/>
  <c r="E38" i="1"/>
  <c r="E39" i="1"/>
  <c r="E40" i="1"/>
  <c r="E37" i="1"/>
  <c r="E27" i="1"/>
  <c r="E28" i="1"/>
  <c r="E29" i="1"/>
  <c r="E30" i="1"/>
  <c r="E31" i="1"/>
  <c r="E32" i="1"/>
  <c r="E26" i="1"/>
  <c r="E15" i="1"/>
  <c r="E16" i="1"/>
  <c r="E17" i="1"/>
  <c r="E18" i="1"/>
  <c r="E19" i="1"/>
  <c r="E20" i="1"/>
  <c r="E21" i="1"/>
  <c r="E22" i="1"/>
  <c r="E14" i="1"/>
</calcChain>
</file>

<file path=xl/sharedStrings.xml><?xml version="1.0" encoding="utf-8"?>
<sst xmlns="http://schemas.openxmlformats.org/spreadsheetml/2006/main" count="43" uniqueCount="42">
  <si>
    <t>Towels</t>
  </si>
  <si>
    <t>Blankets</t>
  </si>
  <si>
    <t>Wash Cloths</t>
  </si>
  <si>
    <t>Mattresses (w/ attached pillows)</t>
  </si>
  <si>
    <t>Canvas Bags</t>
  </si>
  <si>
    <t>Tear Resistant Mattresses</t>
  </si>
  <si>
    <t>Recreational Items</t>
  </si>
  <si>
    <t>Basketballs</t>
  </si>
  <si>
    <t>Cleaning Supplies</t>
  </si>
  <si>
    <t>Various Cleaning Items</t>
  </si>
  <si>
    <t>Textiles/Footware</t>
  </si>
  <si>
    <t>Air Pumps</t>
  </si>
  <si>
    <t>Laundry Chemicals (All 55 gal. drums)</t>
  </si>
  <si>
    <t xml:space="preserve">Description </t>
  </si>
  <si>
    <t xml:space="preserve">Line Items </t>
  </si>
  <si>
    <t xml:space="preserve">Quanity </t>
  </si>
  <si>
    <t xml:space="preserve">Unit Price </t>
  </si>
  <si>
    <t xml:space="preserve">Extended Price </t>
  </si>
  <si>
    <t>Bidder Name:</t>
  </si>
  <si>
    <t>Date:</t>
  </si>
  <si>
    <t>Failure to complet the following form(s) shall result in your Bid being deemed non-responsive and rejected without further evaluations</t>
  </si>
  <si>
    <t xml:space="preserve">Please only modify column (D) do not touch any other sections on this price sheet. </t>
  </si>
  <si>
    <t xml:space="preserve">Total: </t>
  </si>
  <si>
    <t>various sizes</t>
  </si>
  <si>
    <t>various sizes/colors</t>
  </si>
  <si>
    <t>IFB - 37-26-019 - Various Supplies for Jails</t>
  </si>
  <si>
    <t>Detergent (55 Gall Drum)</t>
  </si>
  <si>
    <t>Fabric Softener (55 Gal Drum)</t>
  </si>
  <si>
    <t>Bleach (55 Gal Drum)</t>
  </si>
  <si>
    <t>Alkali Builder (55 Gal Drum)</t>
  </si>
  <si>
    <t>Hygiene Kits (cases)</t>
  </si>
  <si>
    <t>Sanitary Napkins (Cases)</t>
  </si>
  <si>
    <t>Bar Soap (Cases)</t>
  </si>
  <si>
    <t>Toilet Tissue (Cases)</t>
  </si>
  <si>
    <t>Inmate Canvas Shoes (Pair)</t>
  </si>
  <si>
    <t>Inmate Shower Shoes (Pair)</t>
  </si>
  <si>
    <t>Inmate Uniforms (tops and bottoms) (Pair)</t>
  </si>
  <si>
    <t>Checker Pieces (silicone) (Sets)</t>
  </si>
  <si>
    <t>Chess Pieces (silicone) (Sets)</t>
  </si>
  <si>
    <t>Playing Cards (Sets)</t>
  </si>
  <si>
    <t>Uno Cards (Sets)</t>
  </si>
  <si>
    <t>Dominoes (Sets)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</si>
</sst>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5">
    <xf numFmtId="0" fontId="0" fillId="0" borderId="0" xfId="0"/>
    <xf numFmtId="0" fontId="1" fillId="3" borderId="0" xfId="0" applyFont="1" applyFill="1"/>
    <xf numFmtId="0" fontId="0" fillId="0" borderId="1" xfId="0" applyBorder="1"/>
    <xf numFmtId="0" fontId="0" fillId="0" borderId="0" xfId="0" applyAlignment="1">
      <alignment horizontal="left"/>
    </xf>
    <xf numFmtId="0" fontId="0" fillId="4" borderId="2" xfId="0" applyFill="1" applyBorder="1"/>
    <xf numFmtId="0" fontId="1" fillId="4" borderId="2" xfId="0" applyFont="1" applyFill="1" applyBorder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4" fontId="0" fillId="0" borderId="1" xfId="1" applyFont="1" applyBorder="1"/>
    <xf numFmtId="44" fontId="0" fillId="0" borderId="1" xfId="0" applyNumberFormat="1" applyBorder="1"/>
    <xf numFmtId="0" fontId="0" fillId="0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29D4-DCC9-4D27-89A1-99576AF0A6F1}">
  <dimension ref="A1:G49"/>
  <sheetViews>
    <sheetView tabSelected="1" topLeftCell="A15" workbookViewId="0">
      <selection activeCell="H25" sqref="H25"/>
    </sheetView>
  </sheetViews>
  <sheetFormatPr defaultRowHeight="14.25" x14ac:dyDescent="0.45"/>
  <cols>
    <col min="1" max="1" width="12.59765625" customWidth="1"/>
    <col min="2" max="2" width="37.6640625" customWidth="1"/>
    <col min="3" max="3" width="16.86328125" customWidth="1"/>
    <col min="4" max="4" width="15.73046875" customWidth="1"/>
    <col min="5" max="5" width="22.1328125" customWidth="1"/>
    <col min="6" max="6" width="19" bestFit="1" customWidth="1"/>
  </cols>
  <sheetData>
    <row r="1" spans="1:5" ht="23.25" x14ac:dyDescent="0.7">
      <c r="A1" s="8" t="s">
        <v>25</v>
      </c>
      <c r="B1" s="8"/>
      <c r="C1" s="8"/>
      <c r="D1" s="8"/>
    </row>
    <row r="5" spans="1:5" x14ac:dyDescent="0.45">
      <c r="A5" s="9" t="s">
        <v>18</v>
      </c>
      <c r="B5" s="9"/>
    </row>
    <row r="6" spans="1:5" x14ac:dyDescent="0.45">
      <c r="A6" s="9" t="s">
        <v>19</v>
      </c>
      <c r="B6" s="9"/>
    </row>
    <row r="7" spans="1:5" x14ac:dyDescent="0.45">
      <c r="A7" s="3"/>
      <c r="B7" s="3"/>
    </row>
    <row r="8" spans="1:5" x14ac:dyDescent="0.45">
      <c r="A8" s="10" t="s">
        <v>21</v>
      </c>
      <c r="B8" s="10"/>
      <c r="C8" s="10"/>
      <c r="D8" s="6"/>
    </row>
    <row r="9" spans="1:5" x14ac:dyDescent="0.45">
      <c r="A9" s="11" t="s">
        <v>20</v>
      </c>
      <c r="B9" s="11"/>
      <c r="C9" s="11"/>
      <c r="D9" s="11"/>
    </row>
    <row r="11" spans="1:5" x14ac:dyDescent="0.45">
      <c r="A11" s="4" t="s">
        <v>14</v>
      </c>
      <c r="B11" s="5" t="s">
        <v>13</v>
      </c>
      <c r="C11" s="4" t="s">
        <v>15</v>
      </c>
      <c r="D11" s="4" t="s">
        <v>16</v>
      </c>
      <c r="E11" s="4" t="s">
        <v>17</v>
      </c>
    </row>
    <row r="13" spans="1:5" x14ac:dyDescent="0.45">
      <c r="B13" s="1" t="s">
        <v>10</v>
      </c>
    </row>
    <row r="14" spans="1:5" x14ac:dyDescent="0.45">
      <c r="A14" s="7">
        <v>1</v>
      </c>
      <c r="B14" s="2" t="s">
        <v>0</v>
      </c>
      <c r="C14" s="7">
        <v>8400</v>
      </c>
      <c r="D14" s="2"/>
      <c r="E14" s="12">
        <f>C14*D14</f>
        <v>0</v>
      </c>
    </row>
    <row r="15" spans="1:5" x14ac:dyDescent="0.45">
      <c r="A15" s="7">
        <v>2</v>
      </c>
      <c r="B15" s="2" t="s">
        <v>1</v>
      </c>
      <c r="C15" s="7">
        <v>8400</v>
      </c>
      <c r="D15" s="2"/>
      <c r="E15" s="12">
        <f t="shared" ref="E15:E22" si="0">C15*D15</f>
        <v>0</v>
      </c>
    </row>
    <row r="16" spans="1:5" x14ac:dyDescent="0.45">
      <c r="A16" s="7">
        <v>3</v>
      </c>
      <c r="B16" s="2" t="s">
        <v>2</v>
      </c>
      <c r="C16" s="7">
        <v>8400</v>
      </c>
      <c r="D16" s="2"/>
      <c r="E16" s="12">
        <f t="shared" si="0"/>
        <v>0</v>
      </c>
    </row>
    <row r="17" spans="1:7" x14ac:dyDescent="0.45">
      <c r="A17" s="7">
        <v>4</v>
      </c>
      <c r="B17" s="2" t="s">
        <v>4</v>
      </c>
      <c r="C17" s="7">
        <v>300</v>
      </c>
      <c r="D17" s="2"/>
      <c r="E17" s="12">
        <f t="shared" si="0"/>
        <v>0</v>
      </c>
      <c r="G17" s="14"/>
    </row>
    <row r="18" spans="1:7" x14ac:dyDescent="0.45">
      <c r="A18" s="7">
        <v>5</v>
      </c>
      <c r="B18" s="2" t="s">
        <v>34</v>
      </c>
      <c r="C18" s="7">
        <v>10536</v>
      </c>
      <c r="D18" s="2"/>
      <c r="E18" s="12">
        <f t="shared" si="0"/>
        <v>0</v>
      </c>
      <c r="F18" t="s">
        <v>23</v>
      </c>
      <c r="G18" s="14"/>
    </row>
    <row r="19" spans="1:7" x14ac:dyDescent="0.45">
      <c r="A19" s="7">
        <v>6</v>
      </c>
      <c r="B19" s="2" t="s">
        <v>35</v>
      </c>
      <c r="C19" s="7">
        <v>10536</v>
      </c>
      <c r="D19" s="2"/>
      <c r="E19" s="12">
        <f t="shared" si="0"/>
        <v>0</v>
      </c>
      <c r="F19" t="s">
        <v>23</v>
      </c>
      <c r="G19" s="14"/>
    </row>
    <row r="20" spans="1:7" x14ac:dyDescent="0.45">
      <c r="A20" s="7">
        <v>7</v>
      </c>
      <c r="B20" s="2" t="s">
        <v>36</v>
      </c>
      <c r="C20" s="7">
        <v>25000</v>
      </c>
      <c r="D20" s="2"/>
      <c r="E20" s="12">
        <f t="shared" si="0"/>
        <v>0</v>
      </c>
      <c r="F20" t="s">
        <v>24</v>
      </c>
      <c r="G20" s="14"/>
    </row>
    <row r="21" spans="1:7" x14ac:dyDescent="0.45">
      <c r="A21" s="7">
        <v>8</v>
      </c>
      <c r="B21" s="2" t="s">
        <v>3</v>
      </c>
      <c r="C21" s="7">
        <v>500</v>
      </c>
      <c r="D21" s="2"/>
      <c r="E21" s="12">
        <f t="shared" si="0"/>
        <v>0</v>
      </c>
      <c r="G21" s="14"/>
    </row>
    <row r="22" spans="1:7" x14ac:dyDescent="0.45">
      <c r="A22" s="7">
        <v>9</v>
      </c>
      <c r="B22" s="2" t="s">
        <v>5</v>
      </c>
      <c r="C22" s="7">
        <v>200</v>
      </c>
      <c r="D22" s="2"/>
      <c r="E22" s="12">
        <f t="shared" si="0"/>
        <v>0</v>
      </c>
    </row>
    <row r="24" spans="1:7" x14ac:dyDescent="0.45">
      <c r="B24" s="1" t="s">
        <v>6</v>
      </c>
    </row>
    <row r="26" spans="1:7" x14ac:dyDescent="0.45">
      <c r="A26" s="7">
        <v>10</v>
      </c>
      <c r="B26" s="2" t="s">
        <v>37</v>
      </c>
      <c r="C26" s="7">
        <v>50</v>
      </c>
      <c r="D26" s="2"/>
      <c r="E26" s="12">
        <f>C26*D26</f>
        <v>0</v>
      </c>
      <c r="F26" s="14"/>
    </row>
    <row r="27" spans="1:7" x14ac:dyDescent="0.45">
      <c r="A27" s="7">
        <v>11</v>
      </c>
      <c r="B27" s="2" t="s">
        <v>38</v>
      </c>
      <c r="C27" s="7">
        <v>50</v>
      </c>
      <c r="D27" s="2"/>
      <c r="E27" s="12">
        <f t="shared" ref="E27:E32" si="1">C27*D27</f>
        <v>0</v>
      </c>
      <c r="F27" s="14"/>
    </row>
    <row r="28" spans="1:7" x14ac:dyDescent="0.45">
      <c r="A28" s="7">
        <v>12</v>
      </c>
      <c r="B28" s="2" t="s">
        <v>39</v>
      </c>
      <c r="C28" s="7">
        <v>50</v>
      </c>
      <c r="D28" s="2"/>
      <c r="E28" s="12">
        <f t="shared" si="1"/>
        <v>0</v>
      </c>
      <c r="F28" s="14"/>
    </row>
    <row r="29" spans="1:7" x14ac:dyDescent="0.45">
      <c r="A29" s="7">
        <v>13</v>
      </c>
      <c r="B29" s="2" t="s">
        <v>40</v>
      </c>
      <c r="C29" s="7">
        <v>50</v>
      </c>
      <c r="D29" s="2"/>
      <c r="E29" s="12">
        <f t="shared" si="1"/>
        <v>0</v>
      </c>
      <c r="F29" s="14"/>
    </row>
    <row r="30" spans="1:7" x14ac:dyDescent="0.45">
      <c r="A30" s="7">
        <v>14</v>
      </c>
      <c r="B30" s="2" t="s">
        <v>7</v>
      </c>
      <c r="C30" s="7">
        <v>100</v>
      </c>
      <c r="D30" s="2"/>
      <c r="E30" s="12">
        <f t="shared" si="1"/>
        <v>0</v>
      </c>
      <c r="F30" s="14"/>
    </row>
    <row r="31" spans="1:7" x14ac:dyDescent="0.45">
      <c r="A31" s="7">
        <v>15</v>
      </c>
      <c r="B31" s="2" t="s">
        <v>41</v>
      </c>
      <c r="C31" s="7">
        <v>50</v>
      </c>
      <c r="D31" s="2"/>
      <c r="E31" s="12">
        <f t="shared" si="1"/>
        <v>0</v>
      </c>
      <c r="F31" s="14"/>
    </row>
    <row r="32" spans="1:7" x14ac:dyDescent="0.45">
      <c r="A32" s="7">
        <v>16</v>
      </c>
      <c r="B32" s="2" t="s">
        <v>11</v>
      </c>
      <c r="C32" s="7">
        <v>50</v>
      </c>
      <c r="D32" s="2"/>
      <c r="E32" s="12">
        <f t="shared" si="1"/>
        <v>0</v>
      </c>
      <c r="F32" s="14"/>
    </row>
    <row r="34" spans="1:6" x14ac:dyDescent="0.45">
      <c r="B34" s="1" t="s">
        <v>8</v>
      </c>
    </row>
    <row r="36" spans="1:6" x14ac:dyDescent="0.45">
      <c r="A36" s="7">
        <v>17</v>
      </c>
      <c r="B36" s="2" t="s">
        <v>9</v>
      </c>
      <c r="C36" s="2"/>
      <c r="D36" s="2"/>
      <c r="E36" s="2"/>
      <c r="F36" s="14"/>
    </row>
    <row r="37" spans="1:6" x14ac:dyDescent="0.45">
      <c r="A37" s="7">
        <v>18</v>
      </c>
      <c r="B37" s="2" t="s">
        <v>30</v>
      </c>
      <c r="C37" s="7">
        <v>200</v>
      </c>
      <c r="D37" s="2"/>
      <c r="E37" s="12">
        <f>C37*D37</f>
        <v>0</v>
      </c>
      <c r="F37" s="14"/>
    </row>
    <row r="38" spans="1:6" x14ac:dyDescent="0.45">
      <c r="A38" s="7">
        <v>19</v>
      </c>
      <c r="B38" s="2" t="s">
        <v>31</v>
      </c>
      <c r="C38" s="7">
        <v>600</v>
      </c>
      <c r="D38" s="2"/>
      <c r="E38" s="12">
        <f t="shared" ref="E38:E40" si="2">C38*D38</f>
        <v>0</v>
      </c>
      <c r="F38" s="14"/>
    </row>
    <row r="39" spans="1:6" x14ac:dyDescent="0.45">
      <c r="A39" s="7">
        <v>20</v>
      </c>
      <c r="B39" s="2" t="s">
        <v>32</v>
      </c>
      <c r="C39" s="7">
        <v>2000</v>
      </c>
      <c r="D39" s="2"/>
      <c r="E39" s="12">
        <f t="shared" si="2"/>
        <v>0</v>
      </c>
      <c r="F39" s="14"/>
    </row>
    <row r="40" spans="1:6" x14ac:dyDescent="0.45">
      <c r="A40" s="7">
        <v>21</v>
      </c>
      <c r="B40" s="2" t="s">
        <v>33</v>
      </c>
      <c r="C40" s="7">
        <v>2000</v>
      </c>
      <c r="D40" s="2"/>
      <c r="E40" s="12">
        <f t="shared" si="2"/>
        <v>0</v>
      </c>
      <c r="F40" s="14"/>
    </row>
    <row r="41" spans="1:6" x14ac:dyDescent="0.45">
      <c r="F41" s="14"/>
    </row>
    <row r="42" spans="1:6" x14ac:dyDescent="0.45">
      <c r="B42" s="1" t="s">
        <v>12</v>
      </c>
      <c r="F42" s="14"/>
    </row>
    <row r="44" spans="1:6" x14ac:dyDescent="0.45">
      <c r="A44" s="7">
        <v>22</v>
      </c>
      <c r="B44" s="2" t="s">
        <v>26</v>
      </c>
      <c r="C44" s="7">
        <v>25</v>
      </c>
      <c r="D44" s="2"/>
      <c r="E44" s="12">
        <f>C44*D44</f>
        <v>0</v>
      </c>
    </row>
    <row r="45" spans="1:6" x14ac:dyDescent="0.45">
      <c r="A45" s="7">
        <v>23</v>
      </c>
      <c r="B45" s="2" t="s">
        <v>27</v>
      </c>
      <c r="C45" s="7">
        <v>25</v>
      </c>
      <c r="D45" s="2"/>
      <c r="E45" s="12">
        <f t="shared" ref="E45:E47" si="3">C45*D45</f>
        <v>0</v>
      </c>
    </row>
    <row r="46" spans="1:6" x14ac:dyDescent="0.45">
      <c r="A46" s="7">
        <v>24</v>
      </c>
      <c r="B46" s="2" t="s">
        <v>28</v>
      </c>
      <c r="C46" s="7">
        <v>25</v>
      </c>
      <c r="D46" s="2"/>
      <c r="E46" s="12">
        <f t="shared" si="3"/>
        <v>0</v>
      </c>
    </row>
    <row r="47" spans="1:6" x14ac:dyDescent="0.45">
      <c r="A47" s="7">
        <v>25</v>
      </c>
      <c r="B47" s="2" t="s">
        <v>29</v>
      </c>
      <c r="C47" s="7">
        <v>25</v>
      </c>
      <c r="D47" s="2"/>
      <c r="E47" s="12">
        <f t="shared" si="3"/>
        <v>0</v>
      </c>
    </row>
    <row r="49" spans="1:5" x14ac:dyDescent="0.45">
      <c r="A49" t="s">
        <v>22</v>
      </c>
      <c r="E49" s="13">
        <f>E14+E15+E16+E17+E19+E20+E21+E22+E26+E27+E28+E29+E30+E31+E32+E37+E38+E39+E40+E44+E45+E46+E47</f>
        <v>0</v>
      </c>
    </row>
  </sheetData>
  <mergeCells count="5">
    <mergeCell ref="A1:D1"/>
    <mergeCell ref="A5:B5"/>
    <mergeCell ref="A6:B6"/>
    <mergeCell ref="A8:C8"/>
    <mergeCell ref="A9:D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fcfd7-25b4-4cd3-b836-a86711bd6f34}" enabled="0" method="" siteId="{6e1fcfd7-25b4-4cd3-b836-a86711bd6f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Lynette Lewis</dc:creator>
  <cp:lastModifiedBy>Jeremy Lyon</cp:lastModifiedBy>
  <dcterms:created xsi:type="dcterms:W3CDTF">2025-11-25T16:40:29Z</dcterms:created>
  <dcterms:modified xsi:type="dcterms:W3CDTF">2026-02-04T13:39:42Z</dcterms:modified>
</cp:coreProperties>
</file>