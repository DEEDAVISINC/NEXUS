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armyeitaas-my.sharepoint-mil.us/personal/erin_s_duncan2_civ_army_mil/Documents/Documents/Erin/CONTONMENT RECOMPETE/Solicitation/Final Docs/"/>
    </mc:Choice>
  </mc:AlternateContent>
  <xr:revisionPtr revIDLastSave="29" documentId="8_{4D6AC5ED-10ED-4898-9CF1-E4745C482C43}" xr6:coauthVersionLast="47" xr6:coauthVersionMax="47" xr10:uidLastSave="{8F377F6C-16A2-4161-800B-06298A1816ED}"/>
  <bookViews>
    <workbookView xWindow="14229" yWindow="3677" windowWidth="24685" windowHeight="9454" tabRatio="599" activeTab="5" xr2:uid="{00000000-000D-0000-FFFF-FFFF00000000}"/>
  </bookViews>
  <sheets>
    <sheet name="BASE YEAR" sheetId="11" r:id="rId1"/>
    <sheet name="Option Year I" sheetId="13" r:id="rId2"/>
    <sheet name="Option Year II" sheetId="14" r:id="rId3"/>
    <sheet name="Option Year III" sheetId="15" r:id="rId4"/>
    <sheet name="Option Year IV" sheetId="16" r:id="rId5"/>
    <sheet name="Option Year V " sheetId="17" r:id="rId6"/>
    <sheet name="Option Year VI" sheetId="1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8" l="1"/>
  <c r="F18" i="18"/>
  <c r="F17" i="18"/>
  <c r="F16" i="18"/>
  <c r="F19" i="17"/>
  <c r="F18" i="17"/>
  <c r="F17" i="17"/>
  <c r="F16" i="17"/>
  <c r="F19" i="16"/>
  <c r="F18" i="16"/>
  <c r="F17" i="16"/>
  <c r="F16" i="16"/>
  <c r="F19" i="15"/>
  <c r="F18" i="15"/>
  <c r="F17" i="15"/>
  <c r="F16" i="15"/>
  <c r="F19" i="14"/>
  <c r="F18" i="14"/>
  <c r="F17" i="14"/>
  <c r="F16" i="14"/>
  <c r="F19" i="13"/>
  <c r="F18" i="13"/>
  <c r="F17" i="13"/>
  <c r="F16" i="13"/>
  <c r="F22" i="18" l="1"/>
  <c r="F22" i="17"/>
  <c r="F22" i="16"/>
  <c r="F22" i="15"/>
  <c r="F22" i="14"/>
  <c r="F22" i="13"/>
  <c r="F19" i="11"/>
  <c r="F18" i="11"/>
  <c r="F17" i="11"/>
  <c r="F16" i="11"/>
  <c r="F22" i="11" l="1"/>
</calcChain>
</file>

<file path=xl/sharedStrings.xml><?xml version="1.0" encoding="utf-8"?>
<sst xmlns="http://schemas.openxmlformats.org/spreadsheetml/2006/main" count="350" uniqueCount="135">
  <si>
    <t>TOTAL=</t>
  </si>
  <si>
    <t>0001</t>
  </si>
  <si>
    <t>0002</t>
  </si>
  <si>
    <t>COST EST.</t>
  </si>
  <si>
    <t>CONTRACT LINE ITEM</t>
  </si>
  <si>
    <t>SUPPLIES/SERVICES</t>
  </si>
  <si>
    <t>QTY</t>
  </si>
  <si>
    <t>UNIT</t>
  </si>
  <si>
    <t>UNIT PRICE</t>
  </si>
  <si>
    <t>AMOUNT</t>
  </si>
  <si>
    <r>
      <rPr>
        <b/>
        <sz val="11"/>
        <color theme="1"/>
        <rFont val="Times New Roman"/>
        <family val="1"/>
      </rPr>
      <t>Grounds Maintenance – IMPROVED  GROUNDS "A"</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Sections 5.2.2 AND Section “J”</t>
    </r>
    <r>
      <rPr>
        <b/>
        <sz val="11"/>
        <color theme="1"/>
        <rFont val="Times New Roman"/>
        <family val="1"/>
      </rPr>
      <t>.</t>
    </r>
    <r>
      <rPr>
        <sz val="11"/>
        <color theme="1"/>
        <rFont val="Times New Roman"/>
        <family val="1"/>
      </rPr>
      <t xml:space="preserve">
</t>
    </r>
  </si>
  <si>
    <t>JOB</t>
  </si>
  <si>
    <r>
      <rPr>
        <b/>
        <sz val="11"/>
        <color theme="1"/>
        <rFont val="Times New Roman"/>
        <family val="1"/>
      </rPr>
      <t>Grounds Maintenance –  IMPROVED GROUNDS "B".</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Sections 5.2.2 AND Section “J”.</t>
    </r>
    <r>
      <rPr>
        <sz val="11"/>
        <color theme="1"/>
        <rFont val="Times New Roman"/>
        <family val="1"/>
      </rPr>
      <t xml:space="preserve">
</t>
    </r>
  </si>
  <si>
    <r>
      <rPr>
        <b/>
        <sz val="11"/>
        <color theme="1"/>
        <rFont val="Times New Roman"/>
        <family val="1"/>
      </rPr>
      <t>Grounds Maintenance – IMPROVED GROUNDS "C".</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Sections 5.2.2 AND Section “J”</t>
    </r>
    <r>
      <rPr>
        <sz val="11"/>
        <color theme="1"/>
        <rFont val="Times New Roman"/>
        <family val="1"/>
      </rPr>
      <t xml:space="preserve">.
</t>
    </r>
  </si>
  <si>
    <r>
      <rPr>
        <b/>
        <sz val="11"/>
        <color theme="1"/>
        <rFont val="Times New Roman"/>
        <family val="1"/>
      </rPr>
      <t xml:space="preserve">Grounds Maintenance – SEMI- IMPROVED GROUNDS. </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 5.3 AND Section “J”.</t>
    </r>
    <r>
      <rPr>
        <sz val="11"/>
        <color theme="1"/>
        <rFont val="Times New Roman"/>
        <family val="1"/>
      </rPr>
      <t xml:space="preserve">
</t>
    </r>
  </si>
  <si>
    <r>
      <rPr>
        <b/>
        <sz val="11"/>
        <color theme="1"/>
        <rFont val="Times New Roman"/>
        <family val="1"/>
      </rPr>
      <t xml:space="preserve">Grounds Maintenance – UNIMPROVED GROUNDS.   </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 5.4 AND Section “J”.</t>
    </r>
    <r>
      <rPr>
        <sz val="11"/>
        <color theme="1"/>
        <rFont val="Times New Roman"/>
        <family val="1"/>
      </rPr>
      <t xml:space="preserve">
</t>
    </r>
  </si>
  <si>
    <r>
      <rPr>
        <b/>
        <sz val="11"/>
        <color theme="1"/>
        <rFont val="Times New Roman"/>
        <family val="1"/>
      </rPr>
      <t xml:space="preserve">Grounds Maintenance – PRUNING SHRUBS IN IMPROVED  GROUNDS "A" AND "B' </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 5.2.10 AND Section "J".</t>
    </r>
    <r>
      <rPr>
        <sz val="11"/>
        <color theme="1"/>
        <rFont val="Times New Roman"/>
        <family val="1"/>
      </rPr>
      <t xml:space="preserve">
</t>
    </r>
  </si>
  <si>
    <r>
      <rPr>
        <b/>
        <sz val="11"/>
        <color theme="1"/>
        <rFont val="Times New Roman"/>
        <family val="1"/>
      </rPr>
      <t>Grounds Maintenance – PRUNING CRAPE MYRTLES  IN IMPROVED  GROUNDS "A" AND "B</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 5.2.9 AND Section "J"</t>
    </r>
    <r>
      <rPr>
        <sz val="11"/>
        <color theme="1"/>
        <rFont val="Times New Roman"/>
        <family val="1"/>
      </rPr>
      <t xml:space="preserve">
</t>
    </r>
  </si>
  <si>
    <r>
      <rPr>
        <b/>
        <sz val="12"/>
        <color theme="1"/>
        <rFont val="Times New Roman"/>
        <family val="1"/>
      </rPr>
      <t>HERBICIDE APPLICATION TO RAIL ROAD RIGHTS-OF-WAY</t>
    </r>
    <r>
      <rPr>
        <sz val="12"/>
        <color theme="1"/>
        <rFont val="Times New Roman"/>
        <family val="1"/>
      </rPr>
      <t xml:space="preserve">                                                                                                                                                                                                                       Contractor shall furnish all labor, tools, materials, equipment, transportation, supervision and all other supplies and services to perform all operations for Grounds Maintenace services in accordance with the terms and conditions of the attached Performance Work Statement (PWS) </t>
    </r>
    <r>
      <rPr>
        <b/>
        <u/>
        <sz val="12"/>
        <color theme="1"/>
        <rFont val="Times New Roman"/>
        <family val="1"/>
      </rPr>
      <t>Section 5.3.3 AND Section "J".</t>
    </r>
  </si>
  <si>
    <r>
      <t xml:space="preserve">Apply Fertilizer (13-13-13@300 LB/AC), </t>
    </r>
    <r>
      <rPr>
        <b/>
        <u/>
        <sz val="12"/>
        <color theme="1"/>
        <rFont val="Times New Roman"/>
        <family val="1"/>
      </rPr>
      <t>PWS Section 5.2.6</t>
    </r>
    <r>
      <rPr>
        <sz val="12"/>
        <color theme="1"/>
        <rFont val="Times New Roman"/>
        <family val="1"/>
      </rPr>
      <t xml:space="preserve"> </t>
    </r>
  </si>
  <si>
    <t xml:space="preserve">Contractor's Manpower Reporting 
</t>
  </si>
  <si>
    <t>0003</t>
  </si>
  <si>
    <t>0004</t>
  </si>
  <si>
    <t>0005</t>
  </si>
  <si>
    <t>0006</t>
  </si>
  <si>
    <t>0007</t>
  </si>
  <si>
    <t>0008</t>
  </si>
  <si>
    <t>0009</t>
  </si>
  <si>
    <t>0010</t>
  </si>
  <si>
    <t>0011</t>
  </si>
  <si>
    <t>0012</t>
  </si>
  <si>
    <t>0013</t>
  </si>
  <si>
    <t>0014</t>
  </si>
  <si>
    <t>1001</t>
  </si>
  <si>
    <t>MOBILIZATION For  Option Year I- Provide all supervision, personnel, equipment, transportation, material, and other items and services necessary to perform Grounds Maintenance services at FORT NOVOSEL, ALABAMA for the period (INSERT PERFORMANCE PERIOD) in accordance with the Performance Work Statement (PWS) in Section C and Section J.</t>
  </si>
  <si>
    <t>1002</t>
  </si>
  <si>
    <t>1003</t>
  </si>
  <si>
    <t>1004</t>
  </si>
  <si>
    <t>1005</t>
  </si>
  <si>
    <t>1006</t>
  </si>
  <si>
    <t>1007</t>
  </si>
  <si>
    <t>1008</t>
  </si>
  <si>
    <t>1009</t>
  </si>
  <si>
    <t>1010</t>
  </si>
  <si>
    <t>1011</t>
  </si>
  <si>
    <t>1012</t>
  </si>
  <si>
    <t>1013</t>
  </si>
  <si>
    <t>1014</t>
  </si>
  <si>
    <t>MOBILIZATION For  Option Year II- Provide all supervision, personnel, equipment, transportation, material, and other items and services necessary to perform Grounds Maintenance services at FORT NOVOSEL, ALABAMA for the period (INSERT PERFORMANCE PERIOD) in accordance with the Performance Work Statement (PWS) in Section C and Section J.</t>
  </si>
  <si>
    <t>2001</t>
  </si>
  <si>
    <t>2002</t>
  </si>
  <si>
    <t>2003</t>
  </si>
  <si>
    <t>2004</t>
  </si>
  <si>
    <t>2005</t>
  </si>
  <si>
    <t>2006</t>
  </si>
  <si>
    <t>2007</t>
  </si>
  <si>
    <t>2008</t>
  </si>
  <si>
    <t>2009</t>
  </si>
  <si>
    <t>2010</t>
  </si>
  <si>
    <t>2011</t>
  </si>
  <si>
    <t>2012</t>
  </si>
  <si>
    <t>2013</t>
  </si>
  <si>
    <t>2014</t>
  </si>
  <si>
    <t>MOBILIZATION For  Option Year III- Provide all supervision, personnel, equipment, transportation, material, and other items and services necessary to perform Grounds Maintenance services at FORT NOVOSEL, ALABAMA for the period (INSERT PERFORMANCE PERIOD) in accordance with the Performance Work Statement (PWS) in Section C and Section J.</t>
  </si>
  <si>
    <t>3001</t>
  </si>
  <si>
    <t>3002</t>
  </si>
  <si>
    <t>3003</t>
  </si>
  <si>
    <t>3004</t>
  </si>
  <si>
    <t>3005</t>
  </si>
  <si>
    <t>3006</t>
  </si>
  <si>
    <t>3007</t>
  </si>
  <si>
    <t>3008</t>
  </si>
  <si>
    <t>3009</t>
  </si>
  <si>
    <t>3010</t>
  </si>
  <si>
    <t>3011</t>
  </si>
  <si>
    <t>3012</t>
  </si>
  <si>
    <t>3013</t>
  </si>
  <si>
    <t>3014</t>
  </si>
  <si>
    <t>MOBILIZATION For  Option Year IV- Provide all supervision, personnel, equipment, transportation, material, and other items and services necessary to perform Grounds Maintenance services at FORT NOVOSEL, ALABAMA for the period (INSERT PERFORMANCE PERIOD) in accordance with the Performance Work Statement (PWS) in Section C and Section J.</t>
  </si>
  <si>
    <t>4001</t>
  </si>
  <si>
    <t>4002</t>
  </si>
  <si>
    <t>4003</t>
  </si>
  <si>
    <t>4004</t>
  </si>
  <si>
    <t>4005</t>
  </si>
  <si>
    <t>4006</t>
  </si>
  <si>
    <t>4007</t>
  </si>
  <si>
    <t>4008</t>
  </si>
  <si>
    <t>4009</t>
  </si>
  <si>
    <t>4010</t>
  </si>
  <si>
    <t>4011</t>
  </si>
  <si>
    <t>4012</t>
  </si>
  <si>
    <t>4013</t>
  </si>
  <si>
    <t>4014</t>
  </si>
  <si>
    <t>5014</t>
  </si>
  <si>
    <t>5013</t>
  </si>
  <si>
    <t>5012</t>
  </si>
  <si>
    <t>5011</t>
  </si>
  <si>
    <t>5010</t>
  </si>
  <si>
    <t>5009</t>
  </si>
  <si>
    <t>5008</t>
  </si>
  <si>
    <t>5007</t>
  </si>
  <si>
    <t>5006</t>
  </si>
  <si>
    <t>5005</t>
  </si>
  <si>
    <t>5004</t>
  </si>
  <si>
    <t>5003</t>
  </si>
  <si>
    <t>5002</t>
  </si>
  <si>
    <t>5001</t>
  </si>
  <si>
    <t>MOBILIZATION For  Option Year V- Provide all supervision, personnel, equipment, transportation, material, and other items and services necessary to perform Grounds Maintenance services at FORT NOVOSEL, ALABAMA for the period (INSERT PERFORMANCE PERIOD) in accordance with the Performance Work Statement (PWS) in Section C and Section J.</t>
  </si>
  <si>
    <t>6001</t>
  </si>
  <si>
    <t>6002</t>
  </si>
  <si>
    <t>6003</t>
  </si>
  <si>
    <t>6004</t>
  </si>
  <si>
    <t>6005</t>
  </si>
  <si>
    <t>6006</t>
  </si>
  <si>
    <t>6007</t>
  </si>
  <si>
    <t>6008</t>
  </si>
  <si>
    <t>6009</t>
  </si>
  <si>
    <t>6010</t>
  </si>
  <si>
    <t>6011</t>
  </si>
  <si>
    <t>6012</t>
  </si>
  <si>
    <t>6013</t>
  </si>
  <si>
    <t>6014</t>
  </si>
  <si>
    <r>
      <rPr>
        <b/>
        <u/>
        <sz val="12"/>
        <color theme="1"/>
        <rFont val="Times New Roman"/>
        <family val="1"/>
      </rPr>
      <t xml:space="preserve">DEMOBILIZATION </t>
    </r>
    <r>
      <rPr>
        <b/>
        <sz val="12"/>
        <color theme="1"/>
        <rFont val="Times New Roman"/>
        <family val="1"/>
      </rPr>
      <t xml:space="preserve">For  Option Year VI- The Contractor shall demobilize as required for the proper performance and completion of the Work, including the removal of all equipment, machinery, and manpower from the site. </t>
    </r>
  </si>
  <si>
    <r>
      <t>MOBILIZATION For Base Year - Provide all supervision, personnel, equipment, transportation, material, and other items and services necessary to perform Grounds Maintenance services at FORT RUCKER, ALABAMA for the period (I</t>
    </r>
    <r>
      <rPr>
        <b/>
        <u/>
        <sz val="12"/>
        <color theme="1"/>
        <rFont val="Times New Roman"/>
        <family val="1"/>
      </rPr>
      <t>NSERT PERFORMANCE PERIOD</t>
    </r>
    <r>
      <rPr>
        <b/>
        <sz val="12"/>
        <color theme="1"/>
        <rFont val="Times New Roman"/>
        <family val="1"/>
      </rPr>
      <t>) in accordance with the Performance Work Statement (PWS) in Section C and Section J.</t>
    </r>
  </si>
  <si>
    <r>
      <rPr>
        <b/>
        <sz val="11"/>
        <color theme="1"/>
        <rFont val="Times New Roman"/>
        <family val="1"/>
      </rPr>
      <t xml:space="preserve">Grounds Maintenance – PRUNING SHRUBS IN IMPROVED  GROUNDS "A" AND "B" </t>
    </r>
    <r>
      <rPr>
        <sz val="11"/>
        <color theme="1"/>
        <rFont val="Times New Roman"/>
        <family val="1"/>
      </rPr>
      <t xml:space="preserve">
Contractor shall furnish all labor, tools, materials, equipment, transportation, supervision, and all other supplies and services to perform all operations for Grounds Maintenance services in accordance with the terms and conditions of the
attached Performance Work Statement (PWS) </t>
    </r>
    <r>
      <rPr>
        <b/>
        <u/>
        <sz val="11"/>
        <color theme="1"/>
        <rFont val="Times New Roman"/>
        <family val="1"/>
      </rPr>
      <t>Section 5.2.10 AND Section "J".</t>
    </r>
    <r>
      <rPr>
        <sz val="11"/>
        <color theme="1"/>
        <rFont val="Times New Roman"/>
        <family val="1"/>
      </rPr>
      <t xml:space="preserve">
</t>
    </r>
  </si>
  <si>
    <r>
      <t xml:space="preserve">Emergency and special events grass cutting, </t>
    </r>
    <r>
      <rPr>
        <b/>
        <u/>
        <sz val="12"/>
        <color theme="1"/>
        <rFont val="Times New Roman"/>
        <family val="1"/>
      </rPr>
      <t>PWS Section 5.2.11 -</t>
    </r>
    <r>
      <rPr>
        <sz val="12"/>
        <color theme="1"/>
        <rFont val="Times New Roman"/>
        <family val="1"/>
      </rPr>
      <t xml:space="preserve"> shall reflect a unit cost per acre.  Amount shall be the unit cost times the total estimated quantity.</t>
    </r>
  </si>
  <si>
    <r>
      <t>Apply Lime (2 TON/AC),</t>
    </r>
    <r>
      <rPr>
        <b/>
        <sz val="12"/>
        <color theme="1"/>
        <rFont val="Times New Roman"/>
        <family val="1"/>
      </rPr>
      <t xml:space="preserve"> PWS </t>
    </r>
    <r>
      <rPr>
        <b/>
        <u/>
        <sz val="12"/>
        <color theme="1"/>
        <rFont val="Times New Roman"/>
        <family val="1"/>
      </rPr>
      <t>Section 5.2.6</t>
    </r>
    <r>
      <rPr>
        <sz val="12"/>
        <color theme="1"/>
        <rFont val="Times New Roman"/>
        <family val="1"/>
      </rPr>
      <t xml:space="preserve"> </t>
    </r>
    <r>
      <rPr>
        <b/>
        <sz val="12"/>
        <color theme="1"/>
        <rFont val="Times New Roman"/>
        <family val="1"/>
      </rPr>
      <t>- shall reflect a unit cost per acre.  Amount shall be the unit cost times the total estimated quantity.</t>
    </r>
  </si>
  <si>
    <r>
      <t xml:space="preserve">Leaf Removal as ordered, </t>
    </r>
    <r>
      <rPr>
        <b/>
        <u/>
        <sz val="12"/>
        <color theme="1"/>
        <rFont val="Times New Roman"/>
        <family val="1"/>
      </rPr>
      <t>PWS Section 5.2.8</t>
    </r>
    <r>
      <rPr>
        <sz val="12"/>
        <color theme="1"/>
        <rFont val="Times New Roman"/>
        <family val="1"/>
      </rPr>
      <t xml:space="preserve"> - shall reflect a unit cost per acre.  Amount shall be the unit cost times the total estimated quantity.</t>
    </r>
  </si>
  <si>
    <r>
      <t xml:space="preserve">Emergency and special events grass cutting, </t>
    </r>
    <r>
      <rPr>
        <b/>
        <u/>
        <sz val="12"/>
        <color theme="1"/>
        <rFont val="Times New Roman"/>
        <family val="1"/>
      </rPr>
      <t>PWS Section 5.2.11</t>
    </r>
    <r>
      <rPr>
        <sz val="12"/>
        <color theme="1"/>
        <rFont val="Times New Roman"/>
        <family val="1"/>
      </rPr>
      <t xml:space="preserve"> - shall reflect a unit cost per acre.  Amount shall be the unit cost times the total estimated quantity.</t>
    </r>
  </si>
  <si>
    <r>
      <t xml:space="preserve">Apply Fertilizer (13-13-13@300 LB/AC), </t>
    </r>
    <r>
      <rPr>
        <b/>
        <u/>
        <sz val="12"/>
        <color theme="1"/>
        <rFont val="Times New Roman"/>
        <family val="1"/>
      </rPr>
      <t>PWS Section 5.2.6</t>
    </r>
    <r>
      <rPr>
        <sz val="12"/>
        <color theme="1"/>
        <rFont val="Times New Roman"/>
        <family val="1"/>
      </rPr>
      <t xml:space="preserve">  - shall reflect a unit cost per acre.  Amount shall be the unit cost times the total estimated quantity.</t>
    </r>
  </si>
  <si>
    <r>
      <t>Apply Lime (2 TON/AC),</t>
    </r>
    <r>
      <rPr>
        <b/>
        <sz val="12"/>
        <color theme="1"/>
        <rFont val="Times New Roman"/>
        <family val="1"/>
      </rPr>
      <t xml:space="preserve"> PWS </t>
    </r>
    <r>
      <rPr>
        <b/>
        <u/>
        <sz val="12"/>
        <color theme="1"/>
        <rFont val="Times New Roman"/>
        <family val="1"/>
      </rPr>
      <t>Section 5.2.6</t>
    </r>
    <r>
      <rPr>
        <sz val="12"/>
        <color theme="1"/>
        <rFont val="Times New Roman"/>
        <family val="1"/>
      </rPr>
      <t xml:space="preserve"> - shall reflect a unit cost per acre.  Amount shall be the unit cost times the total estimated quantity.</t>
    </r>
  </si>
  <si>
    <r>
      <t xml:space="preserve">Apply Fertilizer (13-13-13@300 LB/AC), </t>
    </r>
    <r>
      <rPr>
        <b/>
        <u/>
        <sz val="12"/>
        <color theme="1"/>
        <rFont val="Times New Roman"/>
        <family val="1"/>
      </rPr>
      <t>PWS Section 5.2.6</t>
    </r>
    <r>
      <rPr>
        <sz val="12"/>
        <color theme="1"/>
        <rFont val="Times New Roman"/>
        <family val="1"/>
      </rPr>
      <t xml:space="preserve"> - shall reflect a unit cost per acre.  Amount shall be the unit cost times the total estimated quantity.</t>
    </r>
  </si>
  <si>
    <r>
      <t>Apply Lime (2 TON/AC),</t>
    </r>
    <r>
      <rPr>
        <b/>
        <sz val="12"/>
        <color theme="1"/>
        <rFont val="Times New Roman"/>
        <family val="1"/>
      </rPr>
      <t xml:space="preserve"> PWS </t>
    </r>
    <r>
      <rPr>
        <b/>
        <u/>
        <sz val="12"/>
        <color theme="1"/>
        <rFont val="Times New Roman"/>
        <family val="1"/>
      </rPr>
      <t>Section 5.2.6</t>
    </r>
    <r>
      <rPr>
        <sz val="12"/>
        <color theme="1"/>
        <rFont val="Times New Roman"/>
        <family val="1"/>
      </rPr>
      <t>- shall reflect a unit cost per acre.  Amount shall be the unit cost times the total estimated quantity.</t>
    </r>
  </si>
  <si>
    <r>
      <t xml:space="preserve">Leaf Removal as ordered, </t>
    </r>
    <r>
      <rPr>
        <b/>
        <u/>
        <sz val="12"/>
        <color theme="1"/>
        <rFont val="Times New Roman"/>
        <family val="1"/>
      </rPr>
      <t>PWS Section 5.2.8</t>
    </r>
    <r>
      <rPr>
        <sz val="12"/>
        <color theme="1"/>
        <rFont val="Times New Roman"/>
        <family val="1"/>
      </rPr>
      <t>- shall reflect a unit cost per acre.  Amount shall be the unit cost times the total estimated quantity.</t>
    </r>
  </si>
  <si>
    <r>
      <t xml:space="preserve">Emergency and special events grass cutting, </t>
    </r>
    <r>
      <rPr>
        <b/>
        <u/>
        <sz val="12"/>
        <color theme="1"/>
        <rFont val="Times New Roman"/>
        <family val="1"/>
      </rPr>
      <t>PWS Section 5.2.11</t>
    </r>
    <r>
      <rPr>
        <sz val="12"/>
        <color theme="1"/>
        <rFont val="Times New Roman"/>
        <family val="1"/>
      </rPr>
      <t>- shall reflect a unit cost per acre.  Amount shall be the unit cost times the total estimated quantity.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</si>
</sst>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Calibri"/>
      <family val="2"/>
      <scheme val="minor"/>
    </font>
    <font>
      <sz val="11"/>
      <color theme="1"/>
      <name val="Calibri"/>
      <family val="2"/>
      <scheme val="minor"/>
    </font>
    <font>
      <b/>
      <u/>
      <sz val="12"/>
      <color theme="1"/>
      <name val="Times New Roman"/>
      <family val="1"/>
    </font>
    <font>
      <sz val="12"/>
      <color theme="1"/>
      <name val="Times New Roman"/>
      <family val="1"/>
    </font>
    <font>
      <sz val="11"/>
      <color theme="1"/>
      <name val="Times New Roman"/>
      <family val="1"/>
    </font>
    <font>
      <b/>
      <u/>
      <sz val="11"/>
      <color theme="1"/>
      <name val="Times New Roman"/>
      <family val="1"/>
    </font>
    <font>
      <sz val="14"/>
      <color theme="1"/>
      <name val="Times New Roman"/>
      <family val="1"/>
    </font>
    <font>
      <b/>
      <u/>
      <sz val="14"/>
      <color theme="1"/>
      <name val="Times New Roman"/>
      <family val="1"/>
    </font>
    <font>
      <b/>
      <sz val="11"/>
      <color theme="1"/>
      <name val="Times New Roman"/>
      <family val="1"/>
    </font>
    <font>
      <b/>
      <sz val="12"/>
      <color theme="1"/>
      <name val="Times New Roman"/>
      <family val="1"/>
    </font>
    <font>
      <b/>
      <u val="singleAccounting"/>
      <sz val="12"/>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s>
  <borders count="17">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44" fontId="1" fillId="0" borderId="0" applyFont="0" applyFill="0" applyBorder="0" applyAlignment="0" applyProtection="0"/>
    <xf numFmtId="0" fontId="1" fillId="0" borderId="0"/>
  </cellStyleXfs>
  <cellXfs count="71">
    <xf numFmtId="0" fontId="0" fillId="0" borderId="0" xfId="0"/>
    <xf numFmtId="0" fontId="4" fillId="0" borderId="3" xfId="0" applyFont="1" applyBorder="1" applyAlignment="1">
      <alignment horizontal="center" vertical="top" wrapText="1"/>
    </xf>
    <xf numFmtId="0" fontId="4" fillId="0" borderId="3" xfId="0" applyFont="1" applyBorder="1" applyAlignment="1">
      <alignment vertical="top" wrapText="1"/>
    </xf>
    <xf numFmtId="0" fontId="5" fillId="0" borderId="3" xfId="0" applyFont="1" applyBorder="1" applyAlignment="1">
      <alignment horizontal="center" vertical="top" wrapText="1"/>
    </xf>
    <xf numFmtId="0" fontId="5" fillId="0" borderId="1" xfId="0" applyFont="1" applyBorder="1" applyAlignment="1">
      <alignment horizontal="center" vertical="top" wrapText="1"/>
    </xf>
    <xf numFmtId="44" fontId="5" fillId="0" borderId="1" xfId="1" applyFont="1" applyBorder="1" applyAlignment="1">
      <alignment horizontal="center" vertical="top" wrapText="1"/>
    </xf>
    <xf numFmtId="0" fontId="2" fillId="0" borderId="14" xfId="0" applyFont="1" applyBorder="1" applyAlignment="1">
      <alignment horizontal="center" vertical="top" wrapText="1"/>
    </xf>
    <xf numFmtId="0" fontId="3" fillId="0" borderId="3" xfId="0" applyFont="1" applyBorder="1" applyAlignment="1">
      <alignment vertical="top" wrapText="1"/>
    </xf>
    <xf numFmtId="0" fontId="4" fillId="0" borderId="0" xfId="0" applyFont="1"/>
    <xf numFmtId="44" fontId="4" fillId="0" borderId="0" xfId="1" applyFont="1"/>
    <xf numFmtId="0" fontId="3" fillId="0" borderId="0" xfId="0" applyFont="1"/>
    <xf numFmtId="0" fontId="3" fillId="0" borderId="14" xfId="0" applyFont="1" applyBorder="1" applyAlignment="1">
      <alignment vertical="top" wrapText="1"/>
    </xf>
    <xf numFmtId="0" fontId="3" fillId="0" borderId="14" xfId="0" applyFont="1" applyBorder="1" applyAlignment="1">
      <alignment horizontal="center" vertical="top" wrapText="1"/>
    </xf>
    <xf numFmtId="0" fontId="2" fillId="0" borderId="8" xfId="0" applyFont="1" applyBorder="1" applyAlignment="1">
      <alignment horizontal="center" vertical="top" wrapText="1"/>
    </xf>
    <xf numFmtId="0" fontId="3" fillId="0" borderId="8" xfId="0" applyFont="1" applyBorder="1" applyAlignment="1">
      <alignment vertical="top" wrapText="1"/>
    </xf>
    <xf numFmtId="0" fontId="3" fillId="0" borderId="10" xfId="0" applyFont="1" applyBorder="1" applyAlignment="1">
      <alignment horizontal="center" vertical="top" wrapText="1"/>
    </xf>
    <xf numFmtId="0" fontId="3" fillId="0" borderId="14" xfId="0" applyFont="1" applyBorder="1" applyAlignment="1">
      <alignment horizontal="right" vertical="top" wrapText="1"/>
    </xf>
    <xf numFmtId="44" fontId="5" fillId="0" borderId="3" xfId="1" applyFont="1" applyBorder="1" applyAlignment="1">
      <alignment horizontal="center" vertical="top" wrapText="1"/>
    </xf>
    <xf numFmtId="44" fontId="5" fillId="0" borderId="14" xfId="1" applyFont="1" applyBorder="1" applyAlignment="1">
      <alignment horizontal="center" vertical="top" wrapText="1"/>
    </xf>
    <xf numFmtId="44" fontId="2" fillId="0" borderId="14" xfId="1" applyFont="1" applyBorder="1" applyAlignment="1">
      <alignment horizontal="center" vertical="top" wrapText="1"/>
    </xf>
    <xf numFmtId="44" fontId="2" fillId="0" borderId="8" xfId="1" applyFont="1" applyBorder="1" applyAlignment="1">
      <alignment horizontal="center" vertical="top" wrapText="1"/>
    </xf>
    <xf numFmtId="0" fontId="2" fillId="0" borderId="2" xfId="0" applyFont="1" applyBorder="1" applyAlignment="1">
      <alignment horizontal="center" vertical="top" wrapText="1"/>
    </xf>
    <xf numFmtId="0" fontId="3" fillId="0" borderId="2" xfId="0" applyFont="1" applyBorder="1" applyAlignment="1">
      <alignment vertical="top" wrapText="1"/>
    </xf>
    <xf numFmtId="0" fontId="3" fillId="0" borderId="2" xfId="0" applyFont="1" applyBorder="1" applyAlignment="1">
      <alignment horizontal="center" vertical="top" wrapText="1"/>
    </xf>
    <xf numFmtId="0" fontId="3" fillId="0" borderId="2" xfId="0" applyFont="1" applyBorder="1"/>
    <xf numFmtId="49" fontId="2" fillId="0" borderId="6" xfId="0" applyNumberFormat="1" applyFont="1" applyBorder="1" applyAlignment="1">
      <alignment horizontal="center" vertical="top" wrapText="1"/>
    </xf>
    <xf numFmtId="0" fontId="9" fillId="0" borderId="4" xfId="0" applyFont="1" applyBorder="1" applyAlignment="1">
      <alignment vertical="top" wrapText="1"/>
    </xf>
    <xf numFmtId="0" fontId="3" fillId="0" borderId="6" xfId="0" applyFont="1" applyBorder="1" applyAlignment="1">
      <alignment horizontal="center" vertical="top" wrapText="1"/>
    </xf>
    <xf numFmtId="0" fontId="2" fillId="0" borderId="6" xfId="0" applyFont="1" applyBorder="1" applyAlignment="1">
      <alignment horizontal="center" vertical="top" wrapText="1"/>
    </xf>
    <xf numFmtId="44" fontId="2" fillId="0" borderId="7" xfId="1" applyFont="1" applyBorder="1" applyAlignment="1">
      <alignment horizontal="center" vertical="top" wrapText="1"/>
    </xf>
    <xf numFmtId="44" fontId="10" fillId="0" borderId="3" xfId="1" applyFont="1" applyBorder="1" applyAlignment="1">
      <alignment horizontal="center" vertical="top" wrapText="1"/>
    </xf>
    <xf numFmtId="44" fontId="10" fillId="0" borderId="3" xfId="1" applyFont="1" applyBorder="1" applyAlignment="1">
      <alignment horizontal="right" vertical="top" wrapText="1"/>
    </xf>
    <xf numFmtId="0" fontId="5" fillId="3" borderId="10" xfId="0" applyFont="1" applyFill="1" applyBorder="1" applyAlignment="1">
      <alignment horizontal="center" vertical="top" wrapText="1"/>
    </xf>
    <xf numFmtId="0" fontId="5" fillId="3" borderId="14" xfId="0" applyFont="1" applyFill="1" applyBorder="1" applyAlignment="1">
      <alignment horizontal="center" vertical="top" wrapText="1"/>
    </xf>
    <xf numFmtId="44" fontId="5" fillId="3" borderId="14" xfId="1"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14" xfId="0" applyFont="1" applyFill="1" applyBorder="1" applyAlignment="1">
      <alignment horizontal="center" vertical="top" wrapText="1"/>
    </xf>
    <xf numFmtId="44" fontId="4" fillId="3" borderId="14" xfId="1" applyFont="1" applyFill="1" applyBorder="1" applyAlignment="1">
      <alignment horizontal="center" vertical="top" wrapText="1"/>
    </xf>
    <xf numFmtId="0" fontId="3" fillId="0" borderId="13" xfId="0" applyFont="1" applyBorder="1" applyAlignment="1">
      <alignment vertical="top"/>
    </xf>
    <xf numFmtId="44" fontId="5" fillId="0" borderId="8" xfId="1" applyFont="1" applyBorder="1" applyAlignment="1">
      <alignment vertical="top"/>
    </xf>
    <xf numFmtId="44" fontId="2" fillId="0" borderId="8" xfId="1" applyFont="1" applyBorder="1" applyAlignment="1">
      <alignment vertical="top"/>
    </xf>
    <xf numFmtId="0" fontId="9" fillId="0" borderId="14" xfId="0" applyFont="1" applyBorder="1" applyAlignment="1">
      <alignment horizontal="center" vertical="top" wrapText="1"/>
    </xf>
    <xf numFmtId="0" fontId="9" fillId="0" borderId="8" xfId="0" applyFont="1" applyBorder="1" applyAlignment="1">
      <alignment horizontal="center" vertical="top" wrapText="1"/>
    </xf>
    <xf numFmtId="0" fontId="3" fillId="0" borderId="5" xfId="0" applyFont="1" applyBorder="1" applyAlignment="1">
      <alignment vertical="top" wrapText="1"/>
    </xf>
    <xf numFmtId="0" fontId="5" fillId="0" borderId="9" xfId="0" applyFont="1" applyBorder="1" applyAlignment="1">
      <alignment horizontal="center" vertical="top"/>
    </xf>
    <xf numFmtId="0" fontId="3" fillId="0" borderId="3" xfId="0" applyFont="1" applyBorder="1" applyAlignment="1">
      <alignment horizontal="center" vertical="top"/>
    </xf>
    <xf numFmtId="0" fontId="2" fillId="0" borderId="3" xfId="0" applyFont="1" applyBorder="1" applyAlignment="1">
      <alignment horizontal="center" vertical="top" wrapText="1"/>
    </xf>
    <xf numFmtId="44" fontId="2" fillId="0" borderId="1" xfId="1" applyFont="1" applyBorder="1" applyAlignment="1">
      <alignment vertical="top" wrapText="1"/>
    </xf>
    <xf numFmtId="44" fontId="2" fillId="0" borderId="3" xfId="1" applyFont="1" applyBorder="1" applyAlignment="1">
      <alignment horizontal="center" vertical="top" wrapText="1"/>
    </xf>
    <xf numFmtId="0" fontId="0" fillId="0" borderId="0" xfId="0"/>
    <xf numFmtId="49" fontId="5" fillId="0" borderId="3" xfId="0" applyNumberFormat="1" applyFont="1" applyBorder="1" applyAlignment="1">
      <alignment horizontal="center" vertical="top" wrapText="1"/>
    </xf>
    <xf numFmtId="49" fontId="9" fillId="0" borderId="8" xfId="0" applyNumberFormat="1" applyFont="1" applyBorder="1" applyAlignment="1">
      <alignment horizontal="center" vertical="top"/>
    </xf>
    <xf numFmtId="49" fontId="2" fillId="0" borderId="3" xfId="0" applyNumberFormat="1" applyFont="1" applyBorder="1" applyAlignment="1">
      <alignment horizontal="center" vertical="top" wrapText="1"/>
    </xf>
    <xf numFmtId="49" fontId="2" fillId="0" borderId="10"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4" borderId="6" xfId="0" applyNumberFormat="1" applyFont="1" applyFill="1" applyBorder="1" applyAlignment="1">
      <alignment horizontal="center" vertical="top" wrapText="1"/>
    </xf>
    <xf numFmtId="0" fontId="9" fillId="4" borderId="4" xfId="0" applyFont="1" applyFill="1" applyBorder="1" applyAlignment="1">
      <alignment vertical="top" wrapText="1"/>
    </xf>
    <xf numFmtId="0" fontId="3" fillId="4" borderId="6" xfId="0" applyFont="1" applyFill="1" applyBorder="1" applyAlignment="1">
      <alignment horizontal="center" vertical="top" wrapText="1"/>
    </xf>
    <xf numFmtId="0" fontId="2" fillId="4" borderId="6" xfId="0" applyFont="1" applyFill="1" applyBorder="1" applyAlignment="1">
      <alignment horizontal="center" vertical="top" wrapText="1"/>
    </xf>
    <xf numFmtId="44" fontId="5" fillId="4" borderId="14" xfId="1" applyFont="1" applyFill="1" applyBorder="1" applyAlignment="1">
      <alignment horizontal="center" vertical="top" wrapText="1"/>
    </xf>
    <xf numFmtId="49" fontId="2" fillId="2" borderId="6" xfId="0" applyNumberFormat="1" applyFont="1" applyFill="1" applyBorder="1" applyAlignment="1">
      <alignment horizontal="center" vertical="top" wrapText="1"/>
    </xf>
    <xf numFmtId="0" fontId="9" fillId="2" borderId="4" xfId="0" applyFont="1" applyFill="1" applyBorder="1" applyAlignment="1">
      <alignment vertical="top" wrapText="1"/>
    </xf>
    <xf numFmtId="0" fontId="3" fillId="2" borderId="6" xfId="0" applyFont="1" applyFill="1" applyBorder="1" applyAlignment="1">
      <alignment horizontal="center" vertical="top" wrapText="1"/>
    </xf>
    <xf numFmtId="0" fontId="2" fillId="2" borderId="6" xfId="0" applyFont="1" applyFill="1" applyBorder="1" applyAlignment="1">
      <alignment horizontal="center" vertical="top" wrapText="1"/>
    </xf>
    <xf numFmtId="44" fontId="5" fillId="2" borderId="14" xfId="1" applyFont="1" applyFill="1" applyBorder="1" applyAlignment="1">
      <alignment horizontal="center" vertical="top" wrapText="1"/>
    </xf>
    <xf numFmtId="0" fontId="7" fillId="0" borderId="11" xfId="0" applyFont="1" applyBorder="1" applyAlignment="1">
      <alignment horizontal="center" vertical="center"/>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4" xfId="0" applyFont="1" applyBorder="1" applyAlignment="1">
      <alignment horizontal="center" vertical="center"/>
    </xf>
  </cellXfs>
  <cellStyles count="3">
    <cellStyle name="Currency" xfId="1" builtinId="4"/>
    <cellStyle name="Normal" xfId="0" builtinId="0"/>
    <cellStyle name="Normal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2"/>
  <sheetViews>
    <sheetView topLeftCell="A14" workbookViewId="0">
      <selection activeCell="C16" sqref="C16"/>
    </sheetView>
  </sheetViews>
  <sheetFormatPr defaultColWidth="9.15234375" defaultRowHeight="14.15" x14ac:dyDescent="0.35"/>
  <cols>
    <col min="1" max="1" width="14.15234375" style="8" customWidth="1"/>
    <col min="2" max="2" width="73" style="8" customWidth="1"/>
    <col min="3" max="3" width="9.15234375" style="8" customWidth="1"/>
    <col min="4" max="4" width="10.53515625" style="8" customWidth="1"/>
    <col min="5" max="5" width="14" style="9" customWidth="1"/>
    <col min="6" max="6" width="16.3046875" style="9" customWidth="1"/>
    <col min="7" max="7" width="2.3046875" style="8" customWidth="1"/>
    <col min="8" max="16384" width="9.15234375" style="8"/>
  </cols>
  <sheetData>
    <row r="1" spans="1:7" ht="14.6" thickBot="1" x14ac:dyDescent="0.4"/>
    <row r="2" spans="1:7" ht="15" customHeight="1" x14ac:dyDescent="0.35">
      <c r="C2" s="65" t="s">
        <v>3</v>
      </c>
      <c r="D2" s="66"/>
      <c r="E2" s="66"/>
      <c r="F2" s="67"/>
    </row>
    <row r="3" spans="1:7" ht="15.75" customHeight="1" thickBot="1" x14ac:dyDescent="0.4">
      <c r="C3" s="68"/>
      <c r="D3" s="69"/>
      <c r="E3" s="69"/>
      <c r="F3" s="70"/>
    </row>
    <row r="4" spans="1:7" ht="28.75" thickBot="1" x14ac:dyDescent="0.4">
      <c r="A4" s="3" t="s">
        <v>4</v>
      </c>
      <c r="B4" s="4" t="s">
        <v>5</v>
      </c>
      <c r="C4" s="4" t="s">
        <v>6</v>
      </c>
      <c r="D4" s="4" t="s">
        <v>7</v>
      </c>
      <c r="E4" s="5" t="s">
        <v>8</v>
      </c>
      <c r="F4" s="5" t="s">
        <v>9</v>
      </c>
    </row>
    <row r="5" spans="1:7" ht="14.6" thickBot="1" x14ac:dyDescent="0.4">
      <c r="A5" s="32"/>
      <c r="B5" s="33"/>
      <c r="C5" s="33"/>
      <c r="D5" s="33"/>
      <c r="E5" s="34"/>
      <c r="F5" s="34"/>
    </row>
    <row r="6" spans="1:7" ht="75.45" thickBot="1" x14ac:dyDescent="0.4">
      <c r="A6" s="25" t="s">
        <v>1</v>
      </c>
      <c r="B6" s="26" t="s">
        <v>123</v>
      </c>
      <c r="C6" s="27">
        <v>1</v>
      </c>
      <c r="D6" s="28" t="s">
        <v>11</v>
      </c>
      <c r="E6" s="18"/>
      <c r="F6" s="18"/>
    </row>
    <row r="7" spans="1:7" ht="14.6" thickBot="1" x14ac:dyDescent="0.4">
      <c r="A7" s="35"/>
      <c r="B7" s="36"/>
      <c r="C7" s="36"/>
      <c r="D7" s="36"/>
      <c r="E7" s="37"/>
      <c r="F7" s="37"/>
    </row>
    <row r="8" spans="1:7" ht="99.45" thickBot="1" x14ac:dyDescent="0.4">
      <c r="A8" s="50" t="s">
        <v>2</v>
      </c>
      <c r="B8" s="2" t="s">
        <v>10</v>
      </c>
      <c r="C8" s="3">
        <v>1</v>
      </c>
      <c r="D8" s="3" t="s">
        <v>11</v>
      </c>
      <c r="E8" s="17"/>
      <c r="F8" s="17"/>
    </row>
    <row r="9" spans="1:7" ht="99.45" thickBot="1" x14ac:dyDescent="0.4">
      <c r="A9" s="50" t="s">
        <v>21</v>
      </c>
      <c r="B9" s="2" t="s">
        <v>12</v>
      </c>
      <c r="C9" s="3">
        <v>1</v>
      </c>
      <c r="D9" s="3" t="s">
        <v>11</v>
      </c>
      <c r="E9" s="17"/>
      <c r="F9" s="18"/>
    </row>
    <row r="10" spans="1:7" ht="85.3" thickBot="1" x14ac:dyDescent="0.4">
      <c r="A10" s="50" t="s">
        <v>22</v>
      </c>
      <c r="B10" s="2" t="s">
        <v>13</v>
      </c>
      <c r="C10" s="3">
        <v>1</v>
      </c>
      <c r="D10" s="3" t="s">
        <v>11</v>
      </c>
      <c r="E10" s="17"/>
      <c r="F10" s="18"/>
    </row>
    <row r="11" spans="1:7" ht="85.3" thickBot="1" x14ac:dyDescent="0.4">
      <c r="A11" s="50" t="s">
        <v>23</v>
      </c>
      <c r="B11" s="2" t="s">
        <v>14</v>
      </c>
      <c r="C11" s="1">
        <v>1</v>
      </c>
      <c r="D11" s="3" t="s">
        <v>11</v>
      </c>
      <c r="E11" s="17"/>
      <c r="F11" s="18"/>
    </row>
    <row r="12" spans="1:7" ht="85.3" thickBot="1" x14ac:dyDescent="0.4">
      <c r="A12" s="50" t="s">
        <v>24</v>
      </c>
      <c r="B12" s="2" t="s">
        <v>15</v>
      </c>
      <c r="C12" s="1">
        <v>1</v>
      </c>
      <c r="D12" s="3" t="s">
        <v>11</v>
      </c>
      <c r="E12" s="17"/>
      <c r="F12" s="18"/>
    </row>
    <row r="13" spans="1:7" ht="113.6" thickBot="1" x14ac:dyDescent="0.4">
      <c r="A13" s="50" t="s">
        <v>25</v>
      </c>
      <c r="B13" s="2" t="s">
        <v>124</v>
      </c>
      <c r="C13" s="1">
        <v>1</v>
      </c>
      <c r="D13" s="3" t="s">
        <v>11</v>
      </c>
      <c r="E13" s="17"/>
      <c r="F13" s="17"/>
    </row>
    <row r="14" spans="1:7" ht="99.45" thickBot="1" x14ac:dyDescent="0.4">
      <c r="A14" s="50" t="s">
        <v>26</v>
      </c>
      <c r="B14" s="2" t="s">
        <v>17</v>
      </c>
      <c r="C14" s="1">
        <v>1</v>
      </c>
      <c r="D14" s="3" t="s">
        <v>11</v>
      </c>
      <c r="E14" s="17"/>
      <c r="F14" s="17"/>
    </row>
    <row r="15" spans="1:7" s="10" customFormat="1" ht="77.599999999999994" thickBot="1" x14ac:dyDescent="0.45">
      <c r="A15" s="51" t="s">
        <v>27</v>
      </c>
      <c r="B15" s="43" t="s">
        <v>18</v>
      </c>
      <c r="C15" s="45">
        <v>1</v>
      </c>
      <c r="D15" s="44" t="s">
        <v>11</v>
      </c>
      <c r="E15" s="39"/>
      <c r="F15" s="40"/>
      <c r="G15" s="38"/>
    </row>
    <row r="16" spans="1:7" ht="31.3" thickBot="1" x14ac:dyDescent="0.45">
      <c r="A16" s="52" t="s">
        <v>28</v>
      </c>
      <c r="B16" s="7" t="s">
        <v>125</v>
      </c>
      <c r="C16" s="41">
        <v>100</v>
      </c>
      <c r="D16" s="46" t="s">
        <v>11</v>
      </c>
      <c r="E16" s="47"/>
      <c r="F16" s="48">
        <f>E16*C16</f>
        <v>0</v>
      </c>
      <c r="G16" s="10"/>
    </row>
    <row r="17" spans="1:7" ht="15.9" thickBot="1" x14ac:dyDescent="0.45">
      <c r="A17" s="53" t="s">
        <v>29</v>
      </c>
      <c r="B17" s="11" t="s">
        <v>19</v>
      </c>
      <c r="C17" s="41">
        <v>100</v>
      </c>
      <c r="D17" s="6" t="s">
        <v>11</v>
      </c>
      <c r="E17" s="19"/>
      <c r="F17" s="19">
        <f>E17*C17</f>
        <v>0</v>
      </c>
      <c r="G17" s="10"/>
    </row>
    <row r="18" spans="1:7" ht="30.9" thickBot="1" x14ac:dyDescent="0.45">
      <c r="A18" s="53" t="s">
        <v>30</v>
      </c>
      <c r="B18" s="11" t="s">
        <v>126</v>
      </c>
      <c r="C18" s="41">
        <v>100</v>
      </c>
      <c r="D18" s="6" t="s">
        <v>11</v>
      </c>
      <c r="E18" s="19"/>
      <c r="F18" s="19">
        <f>E18*C18</f>
        <v>0</v>
      </c>
      <c r="G18" s="10"/>
    </row>
    <row r="19" spans="1:7" ht="31.3" thickBot="1" x14ac:dyDescent="0.45">
      <c r="A19" s="53" t="s">
        <v>31</v>
      </c>
      <c r="B19" s="11" t="s">
        <v>127</v>
      </c>
      <c r="C19" s="41">
        <v>100</v>
      </c>
      <c r="D19" s="6" t="s">
        <v>11</v>
      </c>
      <c r="E19" s="19"/>
      <c r="F19" s="19">
        <f>E19*C19</f>
        <v>0</v>
      </c>
      <c r="G19" s="10"/>
    </row>
    <row r="20" spans="1:7" ht="23.5" customHeight="1" x14ac:dyDescent="0.4">
      <c r="A20" s="54" t="s">
        <v>32</v>
      </c>
      <c r="B20" s="14" t="s">
        <v>20</v>
      </c>
      <c r="C20" s="42"/>
      <c r="D20" s="13" t="s">
        <v>11</v>
      </c>
      <c r="E20" s="20"/>
      <c r="F20" s="20"/>
      <c r="G20" s="10"/>
    </row>
    <row r="21" spans="1:7" ht="23.25" customHeight="1" thickBot="1" x14ac:dyDescent="0.45">
      <c r="A21" s="21"/>
      <c r="B21" s="22"/>
      <c r="C21" s="23"/>
      <c r="D21" s="21"/>
      <c r="E21" s="29"/>
      <c r="F21" s="29"/>
      <c r="G21" s="24"/>
    </row>
    <row r="22" spans="1:7" ht="19.3" thickBot="1" x14ac:dyDescent="0.45">
      <c r="A22" s="15"/>
      <c r="B22" s="16"/>
      <c r="C22" s="12"/>
      <c r="D22" s="12"/>
      <c r="E22" s="31" t="s">
        <v>0</v>
      </c>
      <c r="F22" s="30">
        <f>SUM(F6:F21)</f>
        <v>0</v>
      </c>
      <c r="G22" s="10"/>
    </row>
  </sheetData>
  <mergeCells count="1">
    <mergeCell ref="C2:F3"/>
  </mergeCells>
  <pageMargins left="0.7" right="0.7" top="0.75" bottom="0.75" header="0.3" footer="0.3"/>
  <pageSetup scale="64" fitToHeight="0" orientation="portrait" horizontalDpi="4294967295" verticalDpi="4294967295" r:id="rId1"/>
  <ignoredErrors>
    <ignoredError sqref="A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9114-AED5-4733-8225-A31054843D47}">
  <dimension ref="A1:F22"/>
  <sheetViews>
    <sheetView topLeftCell="A15" workbookViewId="0">
      <selection activeCell="C16" sqref="C16"/>
    </sheetView>
  </sheetViews>
  <sheetFormatPr defaultRowHeight="14.6" x14ac:dyDescent="0.4"/>
  <cols>
    <col min="1" max="1" width="12.3046875" customWidth="1"/>
    <col min="2" max="2" width="72.69140625" customWidth="1"/>
    <col min="3" max="3" width="11" customWidth="1"/>
    <col min="4" max="4" width="10.69140625" customWidth="1"/>
    <col min="5" max="5" width="12.15234375" customWidth="1"/>
    <col min="6" max="6" width="14.53515625" customWidth="1"/>
  </cols>
  <sheetData>
    <row r="1" spans="1:6" ht="15" thickBot="1" x14ac:dyDescent="0.45">
      <c r="A1" s="8"/>
      <c r="B1" s="8"/>
      <c r="C1" s="8"/>
      <c r="D1" s="8"/>
      <c r="E1" s="9"/>
      <c r="F1" s="9"/>
    </row>
    <row r="2" spans="1:6" x14ac:dyDescent="0.4">
      <c r="A2" s="8"/>
      <c r="B2" s="8"/>
      <c r="C2" s="65" t="s">
        <v>3</v>
      </c>
      <c r="D2" s="66"/>
      <c r="E2" s="66"/>
      <c r="F2" s="67"/>
    </row>
    <row r="3" spans="1:6" ht="15" thickBot="1" x14ac:dyDescent="0.45">
      <c r="A3" s="8"/>
      <c r="B3" s="8"/>
      <c r="C3" s="68"/>
      <c r="D3" s="69"/>
      <c r="E3" s="69"/>
      <c r="F3" s="70"/>
    </row>
    <row r="4" spans="1:6" ht="28.75" thickBot="1" x14ac:dyDescent="0.45">
      <c r="A4" s="3" t="s">
        <v>4</v>
      </c>
      <c r="B4" s="4" t="s">
        <v>5</v>
      </c>
      <c r="C4" s="4" t="s">
        <v>6</v>
      </c>
      <c r="D4" s="4" t="s">
        <v>7</v>
      </c>
      <c r="E4" s="5" t="s">
        <v>8</v>
      </c>
      <c r="F4" s="5" t="s">
        <v>9</v>
      </c>
    </row>
    <row r="5" spans="1:6" ht="15" thickBot="1" x14ac:dyDescent="0.45">
      <c r="A5" s="32"/>
      <c r="B5" s="33"/>
      <c r="C5" s="33"/>
      <c r="D5" s="33"/>
      <c r="E5" s="34"/>
      <c r="F5" s="34"/>
    </row>
    <row r="6" spans="1:6" ht="90.45" thickBot="1" x14ac:dyDescent="0.45">
      <c r="A6" s="55" t="s">
        <v>33</v>
      </c>
      <c r="B6" s="56" t="s">
        <v>34</v>
      </c>
      <c r="C6" s="57">
        <v>1</v>
      </c>
      <c r="D6" s="58" t="s">
        <v>11</v>
      </c>
      <c r="E6" s="59"/>
      <c r="F6" s="59"/>
    </row>
    <row r="7" spans="1:6" ht="15" thickBot="1" x14ac:dyDescent="0.45">
      <c r="A7" s="35"/>
      <c r="B7" s="36"/>
      <c r="C7" s="36"/>
      <c r="D7" s="36"/>
      <c r="E7" s="37"/>
      <c r="F7" s="37"/>
    </row>
    <row r="8" spans="1:6" ht="99.45" thickBot="1" x14ac:dyDescent="0.45">
      <c r="A8" s="50" t="s">
        <v>35</v>
      </c>
      <c r="B8" s="2" t="s">
        <v>10</v>
      </c>
      <c r="C8" s="3">
        <v>1</v>
      </c>
      <c r="D8" s="3" t="s">
        <v>11</v>
      </c>
      <c r="E8" s="17"/>
      <c r="F8" s="17"/>
    </row>
    <row r="9" spans="1:6" ht="99.45" thickBot="1" x14ac:dyDescent="0.45">
      <c r="A9" s="50" t="s">
        <v>36</v>
      </c>
      <c r="B9" s="2" t="s">
        <v>12</v>
      </c>
      <c r="C9" s="3">
        <v>1</v>
      </c>
      <c r="D9" s="3" t="s">
        <v>11</v>
      </c>
      <c r="E9" s="17"/>
      <c r="F9" s="18"/>
    </row>
    <row r="10" spans="1:6" ht="85.3" thickBot="1" x14ac:dyDescent="0.45">
      <c r="A10" s="50" t="s">
        <v>37</v>
      </c>
      <c r="B10" s="2" t="s">
        <v>13</v>
      </c>
      <c r="C10" s="3">
        <v>1</v>
      </c>
      <c r="D10" s="3" t="s">
        <v>11</v>
      </c>
      <c r="E10" s="17"/>
      <c r="F10" s="18"/>
    </row>
    <row r="11" spans="1:6" ht="85.3" thickBot="1" x14ac:dyDescent="0.45">
      <c r="A11" s="50" t="s">
        <v>38</v>
      </c>
      <c r="B11" s="2" t="s">
        <v>14</v>
      </c>
      <c r="C11" s="1">
        <v>1</v>
      </c>
      <c r="D11" s="3" t="s">
        <v>11</v>
      </c>
      <c r="E11" s="17"/>
      <c r="F11" s="18"/>
    </row>
    <row r="12" spans="1:6" ht="85.3" thickBot="1" x14ac:dyDescent="0.45">
      <c r="A12" s="50" t="s">
        <v>39</v>
      </c>
      <c r="B12" s="2" t="s">
        <v>15</v>
      </c>
      <c r="C12" s="1">
        <v>1</v>
      </c>
      <c r="D12" s="3" t="s">
        <v>11</v>
      </c>
      <c r="E12" s="17"/>
      <c r="F12" s="18"/>
    </row>
    <row r="13" spans="1:6" ht="113.6" thickBot="1" x14ac:dyDescent="0.45">
      <c r="A13" s="50" t="s">
        <v>40</v>
      </c>
      <c r="B13" s="2" t="s">
        <v>16</v>
      </c>
      <c r="C13" s="1">
        <v>1</v>
      </c>
      <c r="D13" s="3" t="s">
        <v>11</v>
      </c>
      <c r="E13" s="17"/>
      <c r="F13" s="17"/>
    </row>
    <row r="14" spans="1:6" ht="99.45" thickBot="1" x14ac:dyDescent="0.45">
      <c r="A14" s="50" t="s">
        <v>41</v>
      </c>
      <c r="B14" s="2" t="s">
        <v>17</v>
      </c>
      <c r="C14" s="1">
        <v>1</v>
      </c>
      <c r="D14" s="3" t="s">
        <v>11</v>
      </c>
      <c r="E14" s="17"/>
      <c r="F14" s="17"/>
    </row>
    <row r="15" spans="1:6" ht="77.599999999999994" thickBot="1" x14ac:dyDescent="0.45">
      <c r="A15" s="51" t="s">
        <v>42</v>
      </c>
      <c r="B15" s="43" t="s">
        <v>18</v>
      </c>
      <c r="C15" s="45">
        <v>1</v>
      </c>
      <c r="D15" s="44" t="s">
        <v>11</v>
      </c>
      <c r="E15" s="39"/>
      <c r="F15" s="40"/>
    </row>
    <row r="16" spans="1:6" ht="31.3" thickBot="1" x14ac:dyDescent="0.45">
      <c r="A16" s="52" t="s">
        <v>43</v>
      </c>
      <c r="B16" s="7" t="s">
        <v>128</v>
      </c>
      <c r="C16" s="41">
        <v>100</v>
      </c>
      <c r="D16" s="46" t="s">
        <v>11</v>
      </c>
      <c r="E16" s="47"/>
      <c r="F16" s="48">
        <f>E16*C16</f>
        <v>0</v>
      </c>
    </row>
    <row r="17" spans="1:6" ht="31.3" thickBot="1" x14ac:dyDescent="0.45">
      <c r="A17" s="53" t="s">
        <v>44</v>
      </c>
      <c r="B17" s="11" t="s">
        <v>129</v>
      </c>
      <c r="C17" s="41">
        <v>100</v>
      </c>
      <c r="D17" s="6" t="s">
        <v>11</v>
      </c>
      <c r="E17" s="19"/>
      <c r="F17" s="19">
        <f>E17*C17</f>
        <v>0</v>
      </c>
    </row>
    <row r="18" spans="1:6" ht="31.3" thickBot="1" x14ac:dyDescent="0.45">
      <c r="A18" s="53" t="s">
        <v>45</v>
      </c>
      <c r="B18" s="11" t="s">
        <v>130</v>
      </c>
      <c r="C18" s="41">
        <v>100</v>
      </c>
      <c r="D18" s="6" t="s">
        <v>11</v>
      </c>
      <c r="E18" s="19"/>
      <c r="F18" s="19">
        <f>E18*C18</f>
        <v>0</v>
      </c>
    </row>
    <row r="19" spans="1:6" ht="31.3" thickBot="1" x14ac:dyDescent="0.45">
      <c r="A19" s="53" t="s">
        <v>46</v>
      </c>
      <c r="B19" s="11" t="s">
        <v>127</v>
      </c>
      <c r="C19" s="41">
        <v>100</v>
      </c>
      <c r="D19" s="6" t="s">
        <v>11</v>
      </c>
      <c r="E19" s="19"/>
      <c r="F19" s="19">
        <f>E19*C19</f>
        <v>0</v>
      </c>
    </row>
    <row r="20" spans="1:6" ht="30.9" x14ac:dyDescent="0.4">
      <c r="A20" s="54" t="s">
        <v>47</v>
      </c>
      <c r="B20" s="14" t="s">
        <v>20</v>
      </c>
      <c r="C20" s="42"/>
      <c r="D20" s="13" t="s">
        <v>11</v>
      </c>
      <c r="E20" s="20"/>
      <c r="F20" s="20"/>
    </row>
    <row r="21" spans="1:6" ht="15.9" thickBot="1" x14ac:dyDescent="0.45">
      <c r="A21" s="21"/>
      <c r="B21" s="22"/>
      <c r="C21" s="23"/>
      <c r="D21" s="21"/>
      <c r="E21" s="29"/>
      <c r="F21" s="29"/>
    </row>
    <row r="22" spans="1:6" ht="19.3" thickBot="1" x14ac:dyDescent="0.45">
      <c r="A22" s="15"/>
      <c r="B22" s="16"/>
      <c r="C22" s="12"/>
      <c r="D22" s="12"/>
      <c r="E22" s="31" t="s">
        <v>0</v>
      </c>
      <c r="F22" s="30">
        <f>SUM(F6:F21)</f>
        <v>0</v>
      </c>
    </row>
  </sheetData>
  <mergeCells count="1">
    <mergeCell ref="C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8DD0-34C4-4168-8D30-31796BE7CD89}">
  <dimension ref="A1:F22"/>
  <sheetViews>
    <sheetView topLeftCell="A15" workbookViewId="0">
      <selection activeCell="C19" sqref="C19"/>
    </sheetView>
  </sheetViews>
  <sheetFormatPr defaultColWidth="9.3046875" defaultRowHeight="14.6" x14ac:dyDescent="0.4"/>
  <cols>
    <col min="1" max="1" width="12.3046875" style="49" customWidth="1"/>
    <col min="2" max="2" width="72.3046875" style="49" customWidth="1"/>
    <col min="3" max="3" width="11" style="49" customWidth="1"/>
    <col min="4" max="4" width="10.69140625" style="49" customWidth="1"/>
    <col min="5" max="5" width="12.15234375" style="49" customWidth="1"/>
    <col min="6" max="6" width="14.53515625" style="49" customWidth="1"/>
    <col min="7" max="16384" width="9.3046875" style="49"/>
  </cols>
  <sheetData>
    <row r="1" spans="1:6" ht="15" thickBot="1" x14ac:dyDescent="0.45">
      <c r="A1" s="8"/>
      <c r="B1" s="8"/>
      <c r="C1" s="8"/>
      <c r="D1" s="8"/>
      <c r="E1" s="9"/>
      <c r="F1" s="9"/>
    </row>
    <row r="2" spans="1:6" x14ac:dyDescent="0.4">
      <c r="A2" s="8"/>
      <c r="B2" s="8"/>
      <c r="C2" s="65" t="s">
        <v>3</v>
      </c>
      <c r="D2" s="66"/>
      <c r="E2" s="66"/>
      <c r="F2" s="67"/>
    </row>
    <row r="3" spans="1:6" ht="15" thickBot="1" x14ac:dyDescent="0.45">
      <c r="A3" s="8"/>
      <c r="B3" s="8"/>
      <c r="C3" s="68"/>
      <c r="D3" s="69"/>
      <c r="E3" s="69"/>
      <c r="F3" s="70"/>
    </row>
    <row r="4" spans="1:6" ht="28.75" thickBot="1" x14ac:dyDescent="0.45">
      <c r="A4" s="3" t="s">
        <v>4</v>
      </c>
      <c r="B4" s="4" t="s">
        <v>5</v>
      </c>
      <c r="C4" s="4" t="s">
        <v>6</v>
      </c>
      <c r="D4" s="4" t="s">
        <v>7</v>
      </c>
      <c r="E4" s="5" t="s">
        <v>8</v>
      </c>
      <c r="F4" s="5" t="s">
        <v>9</v>
      </c>
    </row>
    <row r="5" spans="1:6" ht="15" thickBot="1" x14ac:dyDescent="0.45">
      <c r="A5" s="32"/>
      <c r="B5" s="33"/>
      <c r="C5" s="33"/>
      <c r="D5" s="33"/>
      <c r="E5" s="34"/>
      <c r="F5" s="34"/>
    </row>
    <row r="6" spans="1:6" ht="90.45" thickBot="1" x14ac:dyDescent="0.45">
      <c r="A6" s="55" t="s">
        <v>49</v>
      </c>
      <c r="B6" s="56" t="s">
        <v>48</v>
      </c>
      <c r="C6" s="57">
        <v>1</v>
      </c>
      <c r="D6" s="58" t="s">
        <v>11</v>
      </c>
      <c r="E6" s="59"/>
      <c r="F6" s="59"/>
    </row>
    <row r="7" spans="1:6" ht="15" thickBot="1" x14ac:dyDescent="0.45">
      <c r="A7" s="35"/>
      <c r="B7" s="36"/>
      <c r="C7" s="36"/>
      <c r="D7" s="36"/>
      <c r="E7" s="37"/>
      <c r="F7" s="37"/>
    </row>
    <row r="8" spans="1:6" ht="99.45" thickBot="1" x14ac:dyDescent="0.45">
      <c r="A8" s="50" t="s">
        <v>50</v>
      </c>
      <c r="B8" s="2" t="s">
        <v>10</v>
      </c>
      <c r="C8" s="3">
        <v>1</v>
      </c>
      <c r="D8" s="3" t="s">
        <v>11</v>
      </c>
      <c r="E8" s="17"/>
      <c r="F8" s="17"/>
    </row>
    <row r="9" spans="1:6" ht="99.45" thickBot="1" x14ac:dyDescent="0.45">
      <c r="A9" s="50" t="s">
        <v>51</v>
      </c>
      <c r="B9" s="2" t="s">
        <v>12</v>
      </c>
      <c r="C9" s="3">
        <v>1</v>
      </c>
      <c r="D9" s="3" t="s">
        <v>11</v>
      </c>
      <c r="E9" s="17"/>
      <c r="F9" s="18"/>
    </row>
    <row r="10" spans="1:6" ht="85.3" thickBot="1" x14ac:dyDescent="0.45">
      <c r="A10" s="50" t="s">
        <v>52</v>
      </c>
      <c r="B10" s="2" t="s">
        <v>13</v>
      </c>
      <c r="C10" s="3">
        <v>1</v>
      </c>
      <c r="D10" s="3" t="s">
        <v>11</v>
      </c>
      <c r="E10" s="17"/>
      <c r="F10" s="18"/>
    </row>
    <row r="11" spans="1:6" ht="85.3" thickBot="1" x14ac:dyDescent="0.45">
      <c r="A11" s="50" t="s">
        <v>53</v>
      </c>
      <c r="B11" s="2" t="s">
        <v>14</v>
      </c>
      <c r="C11" s="1">
        <v>1</v>
      </c>
      <c r="D11" s="3" t="s">
        <v>11</v>
      </c>
      <c r="E11" s="17"/>
      <c r="F11" s="18"/>
    </row>
    <row r="12" spans="1:6" ht="85.3" thickBot="1" x14ac:dyDescent="0.45">
      <c r="A12" s="50" t="s">
        <v>54</v>
      </c>
      <c r="B12" s="2" t="s">
        <v>15</v>
      </c>
      <c r="C12" s="1">
        <v>1</v>
      </c>
      <c r="D12" s="3" t="s">
        <v>11</v>
      </c>
      <c r="E12" s="17"/>
      <c r="F12" s="18"/>
    </row>
    <row r="13" spans="1:6" ht="113.6" thickBot="1" x14ac:dyDescent="0.45">
      <c r="A13" s="50" t="s">
        <v>55</v>
      </c>
      <c r="B13" s="2" t="s">
        <v>16</v>
      </c>
      <c r="C13" s="1">
        <v>1</v>
      </c>
      <c r="D13" s="3" t="s">
        <v>11</v>
      </c>
      <c r="E13" s="17"/>
      <c r="F13" s="17"/>
    </row>
    <row r="14" spans="1:6" ht="99.45" thickBot="1" x14ac:dyDescent="0.45">
      <c r="A14" s="50" t="s">
        <v>56</v>
      </c>
      <c r="B14" s="2" t="s">
        <v>17</v>
      </c>
      <c r="C14" s="1">
        <v>1</v>
      </c>
      <c r="D14" s="3" t="s">
        <v>11</v>
      </c>
      <c r="E14" s="17"/>
      <c r="F14" s="17"/>
    </row>
    <row r="15" spans="1:6" ht="77.599999999999994" thickBot="1" x14ac:dyDescent="0.45">
      <c r="A15" s="51" t="s">
        <v>57</v>
      </c>
      <c r="B15" s="43" t="s">
        <v>18</v>
      </c>
      <c r="C15" s="45">
        <v>1</v>
      </c>
      <c r="D15" s="44" t="s">
        <v>11</v>
      </c>
      <c r="E15" s="39"/>
      <c r="F15" s="40"/>
    </row>
    <row r="16" spans="1:6" ht="46.75" thickBot="1" x14ac:dyDescent="0.45">
      <c r="A16" s="52" t="s">
        <v>58</v>
      </c>
      <c r="B16" s="7" t="s">
        <v>128</v>
      </c>
      <c r="C16" s="41">
        <v>100</v>
      </c>
      <c r="D16" s="46" t="s">
        <v>11</v>
      </c>
      <c r="E16" s="47"/>
      <c r="F16" s="48">
        <f>E16*C16</f>
        <v>0</v>
      </c>
    </row>
    <row r="17" spans="1:6" ht="46.75" thickBot="1" x14ac:dyDescent="0.45">
      <c r="A17" s="53" t="s">
        <v>59</v>
      </c>
      <c r="B17" s="11" t="s">
        <v>131</v>
      </c>
      <c r="C17" s="41">
        <v>100</v>
      </c>
      <c r="D17" s="6" t="s">
        <v>11</v>
      </c>
      <c r="E17" s="19"/>
      <c r="F17" s="19">
        <f>E17*C17</f>
        <v>0</v>
      </c>
    </row>
    <row r="18" spans="1:6" ht="31.3" thickBot="1" x14ac:dyDescent="0.45">
      <c r="A18" s="53" t="s">
        <v>60</v>
      </c>
      <c r="B18" s="11" t="s">
        <v>130</v>
      </c>
      <c r="C18" s="41">
        <v>100</v>
      </c>
      <c r="D18" s="6" t="s">
        <v>11</v>
      </c>
      <c r="E18" s="19"/>
      <c r="F18" s="19">
        <f>E18*C18</f>
        <v>0</v>
      </c>
    </row>
    <row r="19" spans="1:6" ht="31.3" thickBot="1" x14ac:dyDescent="0.45">
      <c r="A19" s="53" t="s">
        <v>61</v>
      </c>
      <c r="B19" s="11" t="s">
        <v>127</v>
      </c>
      <c r="C19" s="41">
        <v>100</v>
      </c>
      <c r="D19" s="6" t="s">
        <v>11</v>
      </c>
      <c r="E19" s="19"/>
      <c r="F19" s="19">
        <f>E19*C19</f>
        <v>0</v>
      </c>
    </row>
    <row r="20" spans="1:6" ht="30.9" x14ac:dyDescent="0.4">
      <c r="A20" s="54" t="s">
        <v>62</v>
      </c>
      <c r="B20" s="14" t="s">
        <v>20</v>
      </c>
      <c r="C20" s="42"/>
      <c r="D20" s="13" t="s">
        <v>11</v>
      </c>
      <c r="E20" s="20"/>
      <c r="F20" s="20"/>
    </row>
    <row r="21" spans="1:6" ht="15.9" thickBot="1" x14ac:dyDescent="0.45">
      <c r="A21" s="21"/>
      <c r="B21" s="22"/>
      <c r="C21" s="23"/>
      <c r="D21" s="21"/>
      <c r="E21" s="29"/>
      <c r="F21" s="29"/>
    </row>
    <row r="22" spans="1:6" ht="19.3" thickBot="1" x14ac:dyDescent="0.45">
      <c r="A22" s="15"/>
      <c r="B22" s="16"/>
      <c r="C22" s="12"/>
      <c r="D22" s="12"/>
      <c r="E22" s="31" t="s">
        <v>0</v>
      </c>
      <c r="F22" s="30">
        <f>SUM(F6:F21)</f>
        <v>0</v>
      </c>
    </row>
  </sheetData>
  <mergeCells count="1">
    <mergeCell ref="C2: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C675-3AB5-4CE9-A498-2EC7B0CE0A7B}">
  <dimension ref="A1:F22"/>
  <sheetViews>
    <sheetView topLeftCell="A6" workbookViewId="0">
      <selection activeCell="C19" sqref="C19"/>
    </sheetView>
  </sheetViews>
  <sheetFormatPr defaultColWidth="9.3046875" defaultRowHeight="14.6" x14ac:dyDescent="0.4"/>
  <cols>
    <col min="1" max="1" width="12.3046875" style="49" customWidth="1"/>
    <col min="2" max="2" width="71.15234375" style="49" customWidth="1"/>
    <col min="3" max="3" width="11" style="49" customWidth="1"/>
    <col min="4" max="4" width="10.69140625" style="49" customWidth="1"/>
    <col min="5" max="5" width="12.15234375" style="49" customWidth="1"/>
    <col min="6" max="6" width="14.53515625" style="49" customWidth="1"/>
    <col min="7" max="16384" width="9.3046875" style="49"/>
  </cols>
  <sheetData>
    <row r="1" spans="1:6" ht="15" thickBot="1" x14ac:dyDescent="0.45">
      <c r="A1" s="8"/>
      <c r="B1" s="8"/>
      <c r="C1" s="8"/>
      <c r="D1" s="8"/>
      <c r="E1" s="9"/>
      <c r="F1" s="9"/>
    </row>
    <row r="2" spans="1:6" x14ac:dyDescent="0.4">
      <c r="A2" s="8"/>
      <c r="B2" s="8"/>
      <c r="C2" s="65" t="s">
        <v>3</v>
      </c>
      <c r="D2" s="66"/>
      <c r="E2" s="66"/>
      <c r="F2" s="67"/>
    </row>
    <row r="3" spans="1:6" ht="15" thickBot="1" x14ac:dyDescent="0.45">
      <c r="A3" s="8"/>
      <c r="B3" s="8"/>
      <c r="C3" s="68"/>
      <c r="D3" s="69"/>
      <c r="E3" s="69"/>
      <c r="F3" s="70"/>
    </row>
    <row r="4" spans="1:6" ht="28.75" thickBot="1" x14ac:dyDescent="0.45">
      <c r="A4" s="3" t="s">
        <v>4</v>
      </c>
      <c r="B4" s="4" t="s">
        <v>5</v>
      </c>
      <c r="C4" s="4" t="s">
        <v>6</v>
      </c>
      <c r="D4" s="4" t="s">
        <v>7</v>
      </c>
      <c r="E4" s="5" t="s">
        <v>8</v>
      </c>
      <c r="F4" s="5" t="s">
        <v>9</v>
      </c>
    </row>
    <row r="5" spans="1:6" ht="15" thickBot="1" x14ac:dyDescent="0.45">
      <c r="A5" s="32"/>
      <c r="B5" s="33"/>
      <c r="C5" s="33"/>
      <c r="D5" s="33"/>
      <c r="E5" s="34"/>
      <c r="F5" s="34"/>
    </row>
    <row r="6" spans="1:6" ht="90.45" thickBot="1" x14ac:dyDescent="0.45">
      <c r="A6" s="55" t="s">
        <v>64</v>
      </c>
      <c r="B6" s="56" t="s">
        <v>63</v>
      </c>
      <c r="C6" s="57">
        <v>1</v>
      </c>
      <c r="D6" s="58" t="s">
        <v>11</v>
      </c>
      <c r="E6" s="59"/>
      <c r="F6" s="59"/>
    </row>
    <row r="7" spans="1:6" ht="15" thickBot="1" x14ac:dyDescent="0.45">
      <c r="A7" s="35"/>
      <c r="B7" s="36"/>
      <c r="C7" s="36"/>
      <c r="D7" s="36"/>
      <c r="E7" s="37"/>
      <c r="F7" s="37"/>
    </row>
    <row r="8" spans="1:6" ht="99.45" thickBot="1" x14ac:dyDescent="0.45">
      <c r="A8" s="50" t="s">
        <v>65</v>
      </c>
      <c r="B8" s="2" t="s">
        <v>10</v>
      </c>
      <c r="C8" s="3">
        <v>1</v>
      </c>
      <c r="D8" s="3" t="s">
        <v>11</v>
      </c>
      <c r="E8" s="17"/>
      <c r="F8" s="17"/>
    </row>
    <row r="9" spans="1:6" ht="99.45" thickBot="1" x14ac:dyDescent="0.45">
      <c r="A9" s="50" t="s">
        <v>66</v>
      </c>
      <c r="B9" s="2" t="s">
        <v>12</v>
      </c>
      <c r="C9" s="3">
        <v>1</v>
      </c>
      <c r="D9" s="3" t="s">
        <v>11</v>
      </c>
      <c r="E9" s="17"/>
      <c r="F9" s="18"/>
    </row>
    <row r="10" spans="1:6" ht="85.3" thickBot="1" x14ac:dyDescent="0.45">
      <c r="A10" s="50" t="s">
        <v>67</v>
      </c>
      <c r="B10" s="2" t="s">
        <v>13</v>
      </c>
      <c r="C10" s="3">
        <v>1</v>
      </c>
      <c r="D10" s="3" t="s">
        <v>11</v>
      </c>
      <c r="E10" s="17"/>
      <c r="F10" s="18"/>
    </row>
    <row r="11" spans="1:6" ht="85.3" thickBot="1" x14ac:dyDescent="0.45">
      <c r="A11" s="50" t="s">
        <v>68</v>
      </c>
      <c r="B11" s="2" t="s">
        <v>14</v>
      </c>
      <c r="C11" s="1">
        <v>1</v>
      </c>
      <c r="D11" s="3" t="s">
        <v>11</v>
      </c>
      <c r="E11" s="17"/>
      <c r="F11" s="18"/>
    </row>
    <row r="12" spans="1:6" ht="85.3" thickBot="1" x14ac:dyDescent="0.45">
      <c r="A12" s="50" t="s">
        <v>69</v>
      </c>
      <c r="B12" s="2" t="s">
        <v>15</v>
      </c>
      <c r="C12" s="1">
        <v>1</v>
      </c>
      <c r="D12" s="3" t="s">
        <v>11</v>
      </c>
      <c r="E12" s="17"/>
      <c r="F12" s="18"/>
    </row>
    <row r="13" spans="1:6" ht="113.6" thickBot="1" x14ac:dyDescent="0.45">
      <c r="A13" s="50" t="s">
        <v>70</v>
      </c>
      <c r="B13" s="2" t="s">
        <v>16</v>
      </c>
      <c r="C13" s="1">
        <v>1</v>
      </c>
      <c r="D13" s="3" t="s">
        <v>11</v>
      </c>
      <c r="E13" s="17"/>
      <c r="F13" s="17"/>
    </row>
    <row r="14" spans="1:6" ht="99.45" thickBot="1" x14ac:dyDescent="0.45">
      <c r="A14" s="50" t="s">
        <v>71</v>
      </c>
      <c r="B14" s="2" t="s">
        <v>17</v>
      </c>
      <c r="C14" s="1">
        <v>1</v>
      </c>
      <c r="D14" s="3" t="s">
        <v>11</v>
      </c>
      <c r="E14" s="17"/>
      <c r="F14" s="17"/>
    </row>
    <row r="15" spans="1:6" ht="77.599999999999994" thickBot="1" x14ac:dyDescent="0.45">
      <c r="A15" s="51" t="s">
        <v>72</v>
      </c>
      <c r="B15" s="43" t="s">
        <v>18</v>
      </c>
      <c r="C15" s="45">
        <v>1</v>
      </c>
      <c r="D15" s="44" t="s">
        <v>11</v>
      </c>
      <c r="E15" s="39"/>
      <c r="F15" s="40"/>
    </row>
    <row r="16" spans="1:6" ht="46.75" thickBot="1" x14ac:dyDescent="0.45">
      <c r="A16" s="52" t="s">
        <v>73</v>
      </c>
      <c r="B16" s="7" t="s">
        <v>128</v>
      </c>
      <c r="C16" s="41">
        <v>100</v>
      </c>
      <c r="D16" s="46" t="s">
        <v>11</v>
      </c>
      <c r="E16" s="47"/>
      <c r="F16" s="48">
        <f>E16*C16</f>
        <v>0</v>
      </c>
    </row>
    <row r="17" spans="1:6" ht="46.75" thickBot="1" x14ac:dyDescent="0.45">
      <c r="A17" s="53" t="s">
        <v>74</v>
      </c>
      <c r="B17" s="11" t="s">
        <v>129</v>
      </c>
      <c r="C17" s="41">
        <v>100</v>
      </c>
      <c r="D17" s="6" t="s">
        <v>11</v>
      </c>
      <c r="E17" s="19"/>
      <c r="F17" s="19">
        <f>E17*C17</f>
        <v>0</v>
      </c>
    </row>
    <row r="18" spans="1:6" ht="31.3" thickBot="1" x14ac:dyDescent="0.45">
      <c r="A18" s="53" t="s">
        <v>75</v>
      </c>
      <c r="B18" s="11" t="s">
        <v>130</v>
      </c>
      <c r="C18" s="41">
        <v>100</v>
      </c>
      <c r="D18" s="6" t="s">
        <v>11</v>
      </c>
      <c r="E18" s="19"/>
      <c r="F18" s="19">
        <f>E18*C18</f>
        <v>0</v>
      </c>
    </row>
    <row r="19" spans="1:6" ht="31.3" thickBot="1" x14ac:dyDescent="0.45">
      <c r="A19" s="53" t="s">
        <v>76</v>
      </c>
      <c r="B19" s="11" t="s">
        <v>127</v>
      </c>
      <c r="C19" s="41">
        <v>100</v>
      </c>
      <c r="D19" s="6" t="s">
        <v>11</v>
      </c>
      <c r="E19" s="19"/>
      <c r="F19" s="19">
        <f>E19*C19</f>
        <v>0</v>
      </c>
    </row>
    <row r="20" spans="1:6" ht="30.9" x14ac:dyDescent="0.4">
      <c r="A20" s="54" t="s">
        <v>77</v>
      </c>
      <c r="B20" s="14" t="s">
        <v>20</v>
      </c>
      <c r="C20" s="42"/>
      <c r="D20" s="13" t="s">
        <v>11</v>
      </c>
      <c r="E20" s="20"/>
      <c r="F20" s="20"/>
    </row>
    <row r="21" spans="1:6" ht="15.9" thickBot="1" x14ac:dyDescent="0.45">
      <c r="A21" s="21"/>
      <c r="B21" s="22"/>
      <c r="C21" s="23"/>
      <c r="D21" s="21"/>
      <c r="E21" s="29"/>
      <c r="F21" s="29"/>
    </row>
    <row r="22" spans="1:6" ht="19.3" thickBot="1" x14ac:dyDescent="0.45">
      <c r="A22" s="15"/>
      <c r="B22" s="16"/>
      <c r="C22" s="12"/>
      <c r="D22" s="12"/>
      <c r="E22" s="31" t="s">
        <v>0</v>
      </c>
      <c r="F22" s="30">
        <f>SUM(F6:F21)</f>
        <v>0</v>
      </c>
    </row>
  </sheetData>
  <mergeCells count="1">
    <mergeCell ref="C2: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5FD70-8849-43DA-B213-A78976867B2E}">
  <dimension ref="A1:F22"/>
  <sheetViews>
    <sheetView topLeftCell="A9" workbookViewId="0">
      <selection activeCell="B20" sqref="B20"/>
    </sheetView>
  </sheetViews>
  <sheetFormatPr defaultColWidth="9.3046875" defaultRowHeight="14.6" x14ac:dyDescent="0.4"/>
  <cols>
    <col min="1" max="1" width="12.3046875" style="49" customWidth="1"/>
    <col min="2" max="2" width="70.3046875" style="49" customWidth="1"/>
    <col min="3" max="3" width="11" style="49" customWidth="1"/>
    <col min="4" max="4" width="10.69140625" style="49" customWidth="1"/>
    <col min="5" max="5" width="12.15234375" style="49" customWidth="1"/>
    <col min="6" max="6" width="14.53515625" style="49" customWidth="1"/>
    <col min="7" max="16384" width="9.3046875" style="49"/>
  </cols>
  <sheetData>
    <row r="1" spans="1:6" ht="15" thickBot="1" x14ac:dyDescent="0.45">
      <c r="A1" s="8"/>
      <c r="B1" s="8"/>
      <c r="C1" s="8"/>
      <c r="D1" s="8"/>
      <c r="E1" s="9"/>
      <c r="F1" s="9"/>
    </row>
    <row r="2" spans="1:6" x14ac:dyDescent="0.4">
      <c r="A2" s="8"/>
      <c r="B2" s="8"/>
      <c r="C2" s="65" t="s">
        <v>3</v>
      </c>
      <c r="D2" s="66"/>
      <c r="E2" s="66"/>
      <c r="F2" s="67"/>
    </row>
    <row r="3" spans="1:6" ht="15" thickBot="1" x14ac:dyDescent="0.45">
      <c r="A3" s="8"/>
      <c r="B3" s="8"/>
      <c r="C3" s="68"/>
      <c r="D3" s="69"/>
      <c r="E3" s="69"/>
      <c r="F3" s="70"/>
    </row>
    <row r="4" spans="1:6" ht="28.75" thickBot="1" x14ac:dyDescent="0.45">
      <c r="A4" s="3" t="s">
        <v>4</v>
      </c>
      <c r="B4" s="4" t="s">
        <v>5</v>
      </c>
      <c r="C4" s="4" t="s">
        <v>6</v>
      </c>
      <c r="D4" s="4" t="s">
        <v>7</v>
      </c>
      <c r="E4" s="5" t="s">
        <v>8</v>
      </c>
      <c r="F4" s="5" t="s">
        <v>9</v>
      </c>
    </row>
    <row r="5" spans="1:6" ht="15" thickBot="1" x14ac:dyDescent="0.45">
      <c r="A5" s="32"/>
      <c r="B5" s="33"/>
      <c r="C5" s="33"/>
      <c r="D5" s="33"/>
      <c r="E5" s="34"/>
      <c r="F5" s="34"/>
    </row>
    <row r="6" spans="1:6" ht="90.45" thickBot="1" x14ac:dyDescent="0.45">
      <c r="A6" s="55" t="s">
        <v>79</v>
      </c>
      <c r="B6" s="56" t="s">
        <v>78</v>
      </c>
      <c r="C6" s="57">
        <v>1</v>
      </c>
      <c r="D6" s="58" t="s">
        <v>11</v>
      </c>
      <c r="E6" s="59"/>
      <c r="F6" s="59"/>
    </row>
    <row r="7" spans="1:6" ht="15" thickBot="1" x14ac:dyDescent="0.45">
      <c r="A7" s="35"/>
      <c r="B7" s="36"/>
      <c r="C7" s="36"/>
      <c r="D7" s="36"/>
      <c r="E7" s="37"/>
      <c r="F7" s="37"/>
    </row>
    <row r="8" spans="1:6" ht="99.45" thickBot="1" x14ac:dyDescent="0.45">
      <c r="A8" s="50" t="s">
        <v>80</v>
      </c>
      <c r="B8" s="2" t="s">
        <v>10</v>
      </c>
      <c r="C8" s="3">
        <v>1</v>
      </c>
      <c r="D8" s="3" t="s">
        <v>11</v>
      </c>
      <c r="E8" s="17"/>
      <c r="F8" s="17"/>
    </row>
    <row r="9" spans="1:6" ht="99.45" thickBot="1" x14ac:dyDescent="0.45">
      <c r="A9" s="50" t="s">
        <v>81</v>
      </c>
      <c r="B9" s="2" t="s">
        <v>12</v>
      </c>
      <c r="C9" s="3">
        <v>1</v>
      </c>
      <c r="D9" s="3" t="s">
        <v>11</v>
      </c>
      <c r="E9" s="17"/>
      <c r="F9" s="18"/>
    </row>
    <row r="10" spans="1:6" ht="85.3" thickBot="1" x14ac:dyDescent="0.45">
      <c r="A10" s="50" t="s">
        <v>82</v>
      </c>
      <c r="B10" s="2" t="s">
        <v>13</v>
      </c>
      <c r="C10" s="3">
        <v>1</v>
      </c>
      <c r="D10" s="3" t="s">
        <v>11</v>
      </c>
      <c r="E10" s="17"/>
      <c r="F10" s="18"/>
    </row>
    <row r="11" spans="1:6" ht="85.3" thickBot="1" x14ac:dyDescent="0.45">
      <c r="A11" s="50" t="s">
        <v>83</v>
      </c>
      <c r="B11" s="2" t="s">
        <v>14</v>
      </c>
      <c r="C11" s="1">
        <v>1</v>
      </c>
      <c r="D11" s="3" t="s">
        <v>11</v>
      </c>
      <c r="E11" s="17"/>
      <c r="F11" s="18"/>
    </row>
    <row r="12" spans="1:6" ht="85.3" thickBot="1" x14ac:dyDescent="0.45">
      <c r="A12" s="50" t="s">
        <v>84</v>
      </c>
      <c r="B12" s="2" t="s">
        <v>15</v>
      </c>
      <c r="C12" s="1">
        <v>1</v>
      </c>
      <c r="D12" s="3" t="s">
        <v>11</v>
      </c>
      <c r="E12" s="17"/>
      <c r="F12" s="18"/>
    </row>
    <row r="13" spans="1:6" ht="113.6" thickBot="1" x14ac:dyDescent="0.45">
      <c r="A13" s="50" t="s">
        <v>85</v>
      </c>
      <c r="B13" s="2" t="s">
        <v>16</v>
      </c>
      <c r="C13" s="1">
        <v>1</v>
      </c>
      <c r="D13" s="3" t="s">
        <v>11</v>
      </c>
      <c r="E13" s="17"/>
      <c r="F13" s="17"/>
    </row>
    <row r="14" spans="1:6" ht="99.45" thickBot="1" x14ac:dyDescent="0.45">
      <c r="A14" s="50" t="s">
        <v>86</v>
      </c>
      <c r="B14" s="2" t="s">
        <v>17</v>
      </c>
      <c r="C14" s="1">
        <v>1</v>
      </c>
      <c r="D14" s="3" t="s">
        <v>11</v>
      </c>
      <c r="E14" s="17"/>
      <c r="F14" s="17"/>
    </row>
    <row r="15" spans="1:6" ht="92.6" thickBot="1" x14ac:dyDescent="0.45">
      <c r="A15" s="51" t="s">
        <v>87</v>
      </c>
      <c r="B15" s="43" t="s">
        <v>18</v>
      </c>
      <c r="C15" s="45">
        <v>1</v>
      </c>
      <c r="D15" s="44" t="s">
        <v>11</v>
      </c>
      <c r="E15" s="39"/>
      <c r="F15" s="40"/>
    </row>
    <row r="16" spans="1:6" ht="46.75" thickBot="1" x14ac:dyDescent="0.45">
      <c r="A16" s="52" t="s">
        <v>88</v>
      </c>
      <c r="B16" s="7" t="s">
        <v>128</v>
      </c>
      <c r="C16" s="41">
        <v>100</v>
      </c>
      <c r="D16" s="46" t="s">
        <v>11</v>
      </c>
      <c r="E16" s="47"/>
      <c r="F16" s="48">
        <f>E16*C16</f>
        <v>0</v>
      </c>
    </row>
    <row r="17" spans="1:6" ht="46.75" thickBot="1" x14ac:dyDescent="0.45">
      <c r="A17" s="53" t="s">
        <v>89</v>
      </c>
      <c r="B17" s="11" t="s">
        <v>131</v>
      </c>
      <c r="C17" s="41">
        <v>100</v>
      </c>
      <c r="D17" s="6" t="s">
        <v>11</v>
      </c>
      <c r="E17" s="19"/>
      <c r="F17" s="19">
        <f>E17*C17</f>
        <v>0</v>
      </c>
    </row>
    <row r="18" spans="1:6" ht="31.3" thickBot="1" x14ac:dyDescent="0.45">
      <c r="A18" s="53" t="s">
        <v>90</v>
      </c>
      <c r="B18" s="11" t="s">
        <v>132</v>
      </c>
      <c r="C18" s="41">
        <v>100</v>
      </c>
      <c r="D18" s="6" t="s">
        <v>11</v>
      </c>
      <c r="E18" s="19"/>
      <c r="F18" s="19">
        <f>E18*C18</f>
        <v>0</v>
      </c>
    </row>
    <row r="19" spans="1:6" ht="31.3" thickBot="1" x14ac:dyDescent="0.45">
      <c r="A19" s="53" t="s">
        <v>91</v>
      </c>
      <c r="B19" s="11" t="s">
        <v>133</v>
      </c>
      <c r="C19" s="41">
        <v>100</v>
      </c>
      <c r="D19" s="6" t="s">
        <v>11</v>
      </c>
      <c r="E19" s="19"/>
      <c r="F19" s="19">
        <f>E19*C19</f>
        <v>0</v>
      </c>
    </row>
    <row r="20" spans="1:6" ht="30.9" x14ac:dyDescent="0.4">
      <c r="A20" s="54" t="s">
        <v>92</v>
      </c>
      <c r="B20" s="14" t="s">
        <v>20</v>
      </c>
      <c r="C20" s="42"/>
      <c r="D20" s="13" t="s">
        <v>11</v>
      </c>
      <c r="E20" s="20"/>
      <c r="F20" s="20"/>
    </row>
    <row r="21" spans="1:6" ht="15.9" thickBot="1" x14ac:dyDescent="0.45">
      <c r="A21" s="21"/>
      <c r="B21" s="22"/>
      <c r="C21" s="23"/>
      <c r="D21" s="21"/>
      <c r="E21" s="29"/>
      <c r="F21" s="29"/>
    </row>
    <row r="22" spans="1:6" ht="19.3" thickBot="1" x14ac:dyDescent="0.45">
      <c r="A22" s="15"/>
      <c r="B22" s="16"/>
      <c r="C22" s="12"/>
      <c r="D22" s="12"/>
      <c r="E22" s="31" t="s">
        <v>0</v>
      </c>
      <c r="F22" s="30">
        <f>SUM(F6:F21)</f>
        <v>0</v>
      </c>
    </row>
  </sheetData>
  <mergeCells count="1">
    <mergeCell ref="C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0391-90FD-4F1A-A557-4F181C50CE62}">
  <dimension ref="A1:F22"/>
  <sheetViews>
    <sheetView tabSelected="1" topLeftCell="A14" workbookViewId="0">
      <selection activeCell="B23" sqref="B23"/>
    </sheetView>
  </sheetViews>
  <sheetFormatPr defaultColWidth="9.3046875" defaultRowHeight="14.6" x14ac:dyDescent="0.4"/>
  <cols>
    <col min="1" max="1" width="12.3046875" style="49" customWidth="1"/>
    <col min="2" max="2" width="71.15234375" style="49" customWidth="1"/>
    <col min="3" max="3" width="11" style="49" customWidth="1"/>
    <col min="4" max="4" width="10.69140625" style="49" customWidth="1"/>
    <col min="5" max="5" width="12.15234375" style="49" customWidth="1"/>
    <col min="6" max="6" width="14.53515625" style="49" customWidth="1"/>
    <col min="7" max="16384" width="9.3046875" style="49"/>
  </cols>
  <sheetData>
    <row r="1" spans="1:6" ht="15" thickBot="1" x14ac:dyDescent="0.45">
      <c r="A1" s="8"/>
      <c r="B1" s="8"/>
      <c r="C1" s="8"/>
      <c r="D1" s="8"/>
      <c r="E1" s="9"/>
      <c r="F1" s="9"/>
    </row>
    <row r="2" spans="1:6" x14ac:dyDescent="0.4">
      <c r="A2" s="8"/>
      <c r="B2" s="8"/>
      <c r="C2" s="65" t="s">
        <v>3</v>
      </c>
      <c r="D2" s="66"/>
      <c r="E2" s="66"/>
      <c r="F2" s="67"/>
    </row>
    <row r="3" spans="1:6" ht="15" thickBot="1" x14ac:dyDescent="0.45">
      <c r="A3" s="8"/>
      <c r="B3" s="8"/>
      <c r="C3" s="68"/>
      <c r="D3" s="69"/>
      <c r="E3" s="69"/>
      <c r="F3" s="70"/>
    </row>
    <row r="4" spans="1:6" ht="28.75" thickBot="1" x14ac:dyDescent="0.45">
      <c r="A4" s="3" t="s">
        <v>4</v>
      </c>
      <c r="B4" s="4" t="s">
        <v>5</v>
      </c>
      <c r="C4" s="4" t="s">
        <v>6</v>
      </c>
      <c r="D4" s="4" t="s">
        <v>7</v>
      </c>
      <c r="E4" s="5" t="s">
        <v>8</v>
      </c>
      <c r="F4" s="5" t="s">
        <v>9</v>
      </c>
    </row>
    <row r="5" spans="1:6" ht="15" thickBot="1" x14ac:dyDescent="0.45">
      <c r="A5" s="32"/>
      <c r="B5" s="33"/>
      <c r="C5" s="33"/>
      <c r="D5" s="33"/>
      <c r="E5" s="34"/>
      <c r="F5" s="34"/>
    </row>
    <row r="6" spans="1:6" ht="90.45" thickBot="1" x14ac:dyDescent="0.45">
      <c r="A6" s="55" t="s">
        <v>106</v>
      </c>
      <c r="B6" s="56" t="s">
        <v>107</v>
      </c>
      <c r="C6" s="57">
        <v>1</v>
      </c>
      <c r="D6" s="58" t="s">
        <v>11</v>
      </c>
      <c r="E6" s="59"/>
      <c r="F6" s="59"/>
    </row>
    <row r="7" spans="1:6" ht="15" thickBot="1" x14ac:dyDescent="0.45">
      <c r="A7" s="35"/>
      <c r="B7" s="36"/>
      <c r="C7" s="36"/>
      <c r="D7" s="36"/>
      <c r="E7" s="37"/>
      <c r="F7" s="37"/>
    </row>
    <row r="8" spans="1:6" ht="99.45" thickBot="1" x14ac:dyDescent="0.45">
      <c r="A8" s="50" t="s">
        <v>105</v>
      </c>
      <c r="B8" s="2" t="s">
        <v>10</v>
      </c>
      <c r="C8" s="3">
        <v>1</v>
      </c>
      <c r="D8" s="3" t="s">
        <v>11</v>
      </c>
      <c r="E8" s="17"/>
      <c r="F8" s="17"/>
    </row>
    <row r="9" spans="1:6" ht="99.45" thickBot="1" x14ac:dyDescent="0.45">
      <c r="A9" s="50" t="s">
        <v>104</v>
      </c>
      <c r="B9" s="2" t="s">
        <v>12</v>
      </c>
      <c r="C9" s="3">
        <v>1</v>
      </c>
      <c r="D9" s="3" t="s">
        <v>11</v>
      </c>
      <c r="E9" s="17"/>
      <c r="F9" s="18"/>
    </row>
    <row r="10" spans="1:6" ht="85.3" thickBot="1" x14ac:dyDescent="0.45">
      <c r="A10" s="50" t="s">
        <v>103</v>
      </c>
      <c r="B10" s="2" t="s">
        <v>13</v>
      </c>
      <c r="C10" s="3">
        <v>1</v>
      </c>
      <c r="D10" s="3" t="s">
        <v>11</v>
      </c>
      <c r="E10" s="17"/>
      <c r="F10" s="18"/>
    </row>
    <row r="11" spans="1:6" ht="85.3" thickBot="1" x14ac:dyDescent="0.45">
      <c r="A11" s="50" t="s">
        <v>102</v>
      </c>
      <c r="B11" s="2" t="s">
        <v>14</v>
      </c>
      <c r="C11" s="1">
        <v>1</v>
      </c>
      <c r="D11" s="3" t="s">
        <v>11</v>
      </c>
      <c r="E11" s="17"/>
      <c r="F11" s="18"/>
    </row>
    <row r="12" spans="1:6" ht="85.3" thickBot="1" x14ac:dyDescent="0.45">
      <c r="A12" s="50" t="s">
        <v>101</v>
      </c>
      <c r="B12" s="2" t="s">
        <v>15</v>
      </c>
      <c r="C12" s="1">
        <v>1</v>
      </c>
      <c r="D12" s="3" t="s">
        <v>11</v>
      </c>
      <c r="E12" s="17"/>
      <c r="F12" s="18"/>
    </row>
    <row r="13" spans="1:6" ht="113.6" thickBot="1" x14ac:dyDescent="0.45">
      <c r="A13" s="50" t="s">
        <v>100</v>
      </c>
      <c r="B13" s="2" t="s">
        <v>16</v>
      </c>
      <c r="C13" s="1">
        <v>1</v>
      </c>
      <c r="D13" s="3" t="s">
        <v>11</v>
      </c>
      <c r="E13" s="17"/>
      <c r="F13" s="17"/>
    </row>
    <row r="14" spans="1:6" ht="99.45" thickBot="1" x14ac:dyDescent="0.45">
      <c r="A14" s="50" t="s">
        <v>99</v>
      </c>
      <c r="B14" s="2" t="s">
        <v>17</v>
      </c>
      <c r="C14" s="1">
        <v>1</v>
      </c>
      <c r="D14" s="3" t="s">
        <v>11</v>
      </c>
      <c r="E14" s="17"/>
      <c r="F14" s="17"/>
    </row>
    <row r="15" spans="1:6" ht="77.599999999999994" thickBot="1" x14ac:dyDescent="0.45">
      <c r="A15" s="51" t="s">
        <v>98</v>
      </c>
      <c r="B15" s="43" t="s">
        <v>18</v>
      </c>
      <c r="C15" s="45">
        <v>1</v>
      </c>
      <c r="D15" s="44" t="s">
        <v>11</v>
      </c>
      <c r="E15" s="39"/>
      <c r="F15" s="40"/>
    </row>
    <row r="16" spans="1:6" ht="46.75" thickBot="1" x14ac:dyDescent="0.45">
      <c r="A16" s="52" t="s">
        <v>97</v>
      </c>
      <c r="B16" s="7" t="s">
        <v>134</v>
      </c>
      <c r="C16" s="41">
        <v>5</v>
      </c>
      <c r="D16" s="46" t="s">
        <v>11</v>
      </c>
      <c r="E16" s="47"/>
      <c r="F16" s="48">
        <f>E16*C16</f>
        <v>0</v>
      </c>
    </row>
    <row r="17" spans="1:6" ht="46.75" thickBot="1" x14ac:dyDescent="0.45">
      <c r="A17" s="53" t="s">
        <v>96</v>
      </c>
      <c r="B17" s="11" t="s">
        <v>131</v>
      </c>
      <c r="C17" s="41">
        <v>100</v>
      </c>
      <c r="D17" s="6" t="s">
        <v>11</v>
      </c>
      <c r="E17" s="19"/>
      <c r="F17" s="19">
        <f>E17*C17</f>
        <v>0</v>
      </c>
    </row>
    <row r="18" spans="1:6" ht="31.3" thickBot="1" x14ac:dyDescent="0.45">
      <c r="A18" s="53" t="s">
        <v>95</v>
      </c>
      <c r="B18" s="11" t="s">
        <v>132</v>
      </c>
      <c r="C18" s="41">
        <v>100</v>
      </c>
      <c r="D18" s="6" t="s">
        <v>11</v>
      </c>
      <c r="E18" s="19"/>
      <c r="F18" s="19">
        <f>E18*C18</f>
        <v>0</v>
      </c>
    </row>
    <row r="19" spans="1:6" ht="31.3" thickBot="1" x14ac:dyDescent="0.45">
      <c r="A19" s="53" t="s">
        <v>94</v>
      </c>
      <c r="B19" s="11" t="s">
        <v>133</v>
      </c>
      <c r="C19" s="41">
        <v>100</v>
      </c>
      <c r="D19" s="6" t="s">
        <v>11</v>
      </c>
      <c r="E19" s="19"/>
      <c r="F19" s="19">
        <f>E19*C19</f>
        <v>0</v>
      </c>
    </row>
    <row r="20" spans="1:6" ht="30.9" x14ac:dyDescent="0.4">
      <c r="A20" s="54" t="s">
        <v>93</v>
      </c>
      <c r="B20" s="14" t="s">
        <v>20</v>
      </c>
      <c r="C20" s="42"/>
      <c r="D20" s="13" t="s">
        <v>11</v>
      </c>
      <c r="E20" s="20"/>
      <c r="F20" s="20"/>
    </row>
    <row r="21" spans="1:6" ht="15.9" thickBot="1" x14ac:dyDescent="0.45">
      <c r="A21" s="21"/>
      <c r="B21" s="22"/>
      <c r="C21" s="23"/>
      <c r="D21" s="21"/>
      <c r="E21" s="29"/>
      <c r="F21" s="29"/>
    </row>
    <row r="22" spans="1:6" ht="19.3" thickBot="1" x14ac:dyDescent="0.45">
      <c r="A22" s="15"/>
      <c r="B22" s="16"/>
      <c r="C22" s="12"/>
      <c r="D22" s="12"/>
      <c r="E22" s="31" t="s">
        <v>0</v>
      </c>
      <c r="F22" s="30">
        <f>SUM(F6:F21)</f>
        <v>0</v>
      </c>
    </row>
  </sheetData>
  <mergeCells count="1">
    <mergeCell ref="C2: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9251-39F0-4DF9-B457-C2A5EFAE8F51}">
  <dimension ref="A1:F22"/>
  <sheetViews>
    <sheetView topLeftCell="A8" workbookViewId="0">
      <selection activeCell="D19" sqref="D19"/>
    </sheetView>
  </sheetViews>
  <sheetFormatPr defaultColWidth="9.3046875" defaultRowHeight="14.6" x14ac:dyDescent="0.4"/>
  <cols>
    <col min="1" max="1" width="12.3046875" style="49" customWidth="1"/>
    <col min="2" max="2" width="71.69140625" style="49" customWidth="1"/>
    <col min="3" max="3" width="11" style="49" customWidth="1"/>
    <col min="4" max="4" width="10.69140625" style="49" customWidth="1"/>
    <col min="5" max="5" width="12.15234375" style="49" customWidth="1"/>
    <col min="6" max="6" width="14.53515625" style="49" customWidth="1"/>
    <col min="7" max="16384" width="9.3046875" style="49"/>
  </cols>
  <sheetData>
    <row r="1" spans="1:6" ht="15" thickBot="1" x14ac:dyDescent="0.45">
      <c r="A1" s="8"/>
      <c r="B1" s="8"/>
      <c r="C1" s="8"/>
      <c r="D1" s="8"/>
      <c r="E1" s="9"/>
      <c r="F1" s="9"/>
    </row>
    <row r="2" spans="1:6" x14ac:dyDescent="0.4">
      <c r="A2" s="8"/>
      <c r="B2" s="8"/>
      <c r="C2" s="65" t="s">
        <v>3</v>
      </c>
      <c r="D2" s="66"/>
      <c r="E2" s="66"/>
      <c r="F2" s="67"/>
    </row>
    <row r="3" spans="1:6" ht="15" thickBot="1" x14ac:dyDescent="0.45">
      <c r="A3" s="8"/>
      <c r="B3" s="8"/>
      <c r="C3" s="68"/>
      <c r="D3" s="69"/>
      <c r="E3" s="69"/>
      <c r="F3" s="70"/>
    </row>
    <row r="4" spans="1:6" ht="28.75" thickBot="1" x14ac:dyDescent="0.45">
      <c r="A4" s="3" t="s">
        <v>4</v>
      </c>
      <c r="B4" s="4" t="s">
        <v>5</v>
      </c>
      <c r="C4" s="4" t="s">
        <v>6</v>
      </c>
      <c r="D4" s="4" t="s">
        <v>7</v>
      </c>
      <c r="E4" s="5" t="s">
        <v>8</v>
      </c>
      <c r="F4" s="5" t="s">
        <v>9</v>
      </c>
    </row>
    <row r="5" spans="1:6" ht="15" thickBot="1" x14ac:dyDescent="0.45">
      <c r="A5" s="32"/>
      <c r="B5" s="33"/>
      <c r="C5" s="33"/>
      <c r="D5" s="33"/>
      <c r="E5" s="34"/>
      <c r="F5" s="34"/>
    </row>
    <row r="6" spans="1:6" ht="60.45" thickBot="1" x14ac:dyDescent="0.45">
      <c r="A6" s="60" t="s">
        <v>108</v>
      </c>
      <c r="B6" s="61" t="s">
        <v>122</v>
      </c>
      <c r="C6" s="62">
        <v>1</v>
      </c>
      <c r="D6" s="63" t="s">
        <v>11</v>
      </c>
      <c r="E6" s="64"/>
      <c r="F6" s="64"/>
    </row>
    <row r="7" spans="1:6" ht="15" thickBot="1" x14ac:dyDescent="0.45">
      <c r="A7" s="35"/>
      <c r="B7" s="36"/>
      <c r="C7" s="36"/>
      <c r="D7" s="36"/>
      <c r="E7" s="37"/>
      <c r="F7" s="37"/>
    </row>
    <row r="8" spans="1:6" ht="99.45" thickBot="1" x14ac:dyDescent="0.45">
      <c r="A8" s="50" t="s">
        <v>109</v>
      </c>
      <c r="B8" s="2" t="s">
        <v>10</v>
      </c>
      <c r="C8" s="3">
        <v>1</v>
      </c>
      <c r="D8" s="3" t="s">
        <v>11</v>
      </c>
      <c r="E8" s="17"/>
      <c r="F8" s="17"/>
    </row>
    <row r="9" spans="1:6" ht="99.45" thickBot="1" x14ac:dyDescent="0.45">
      <c r="A9" s="50" t="s">
        <v>110</v>
      </c>
      <c r="B9" s="2" t="s">
        <v>12</v>
      </c>
      <c r="C9" s="3">
        <v>1</v>
      </c>
      <c r="D9" s="3" t="s">
        <v>11</v>
      </c>
      <c r="E9" s="17"/>
      <c r="F9" s="18"/>
    </row>
    <row r="10" spans="1:6" ht="85.3" thickBot="1" x14ac:dyDescent="0.45">
      <c r="A10" s="50" t="s">
        <v>111</v>
      </c>
      <c r="B10" s="2" t="s">
        <v>13</v>
      </c>
      <c r="C10" s="3">
        <v>1</v>
      </c>
      <c r="D10" s="3" t="s">
        <v>11</v>
      </c>
      <c r="E10" s="17"/>
      <c r="F10" s="18"/>
    </row>
    <row r="11" spans="1:6" ht="85.3" thickBot="1" x14ac:dyDescent="0.45">
      <c r="A11" s="50" t="s">
        <v>112</v>
      </c>
      <c r="B11" s="2" t="s">
        <v>14</v>
      </c>
      <c r="C11" s="1">
        <v>1</v>
      </c>
      <c r="D11" s="3" t="s">
        <v>11</v>
      </c>
      <c r="E11" s="17"/>
      <c r="F11" s="18"/>
    </row>
    <row r="12" spans="1:6" ht="85.3" thickBot="1" x14ac:dyDescent="0.45">
      <c r="A12" s="50" t="s">
        <v>113</v>
      </c>
      <c r="B12" s="2" t="s">
        <v>15</v>
      </c>
      <c r="C12" s="1">
        <v>1</v>
      </c>
      <c r="D12" s="3" t="s">
        <v>11</v>
      </c>
      <c r="E12" s="17"/>
      <c r="F12" s="18"/>
    </row>
    <row r="13" spans="1:6" ht="113.6" thickBot="1" x14ac:dyDescent="0.45">
      <c r="A13" s="50" t="s">
        <v>114</v>
      </c>
      <c r="B13" s="2" t="s">
        <v>16</v>
      </c>
      <c r="C13" s="1">
        <v>1</v>
      </c>
      <c r="D13" s="3" t="s">
        <v>11</v>
      </c>
      <c r="E13" s="17"/>
      <c r="F13" s="17"/>
    </row>
    <row r="14" spans="1:6" ht="99.45" thickBot="1" x14ac:dyDescent="0.45">
      <c r="A14" s="50" t="s">
        <v>115</v>
      </c>
      <c r="B14" s="2" t="s">
        <v>17</v>
      </c>
      <c r="C14" s="1">
        <v>1</v>
      </c>
      <c r="D14" s="3" t="s">
        <v>11</v>
      </c>
      <c r="E14" s="17"/>
      <c r="F14" s="17"/>
    </row>
    <row r="15" spans="1:6" ht="77.599999999999994" thickBot="1" x14ac:dyDescent="0.45">
      <c r="A15" s="51" t="s">
        <v>116</v>
      </c>
      <c r="B15" s="43" t="s">
        <v>18</v>
      </c>
      <c r="C15" s="45">
        <v>1</v>
      </c>
      <c r="D15" s="44" t="s">
        <v>11</v>
      </c>
      <c r="E15" s="39"/>
      <c r="F15" s="40"/>
    </row>
    <row r="16" spans="1:6" ht="46.75" thickBot="1" x14ac:dyDescent="0.45">
      <c r="A16" s="52" t="s">
        <v>117</v>
      </c>
      <c r="B16" s="7" t="s">
        <v>134</v>
      </c>
      <c r="C16" s="41">
        <v>100</v>
      </c>
      <c r="D16" s="46" t="s">
        <v>11</v>
      </c>
      <c r="E16" s="47"/>
      <c r="F16" s="48">
        <f>E16*C16</f>
        <v>0</v>
      </c>
    </row>
    <row r="17" spans="1:6" ht="46.75" thickBot="1" x14ac:dyDescent="0.45">
      <c r="A17" s="53" t="s">
        <v>118</v>
      </c>
      <c r="B17" s="11" t="s">
        <v>131</v>
      </c>
      <c r="C17" s="41">
        <v>100</v>
      </c>
      <c r="D17" s="6" t="s">
        <v>11</v>
      </c>
      <c r="E17" s="19"/>
      <c r="F17" s="19">
        <f>E17*C17</f>
        <v>0</v>
      </c>
    </row>
    <row r="18" spans="1:6" ht="31.3" thickBot="1" x14ac:dyDescent="0.45">
      <c r="A18" s="53" t="s">
        <v>119</v>
      </c>
      <c r="B18" s="11" t="s">
        <v>132</v>
      </c>
      <c r="C18" s="41">
        <v>100</v>
      </c>
      <c r="D18" s="6" t="s">
        <v>11</v>
      </c>
      <c r="E18" s="19"/>
      <c r="F18" s="19">
        <f>E18*C18</f>
        <v>0</v>
      </c>
    </row>
    <row r="19" spans="1:6" ht="31.3" thickBot="1" x14ac:dyDescent="0.45">
      <c r="A19" s="53" t="s">
        <v>120</v>
      </c>
      <c r="B19" s="11" t="s">
        <v>133</v>
      </c>
      <c r="C19" s="41">
        <v>100</v>
      </c>
      <c r="D19" s="6" t="s">
        <v>11</v>
      </c>
      <c r="E19" s="19"/>
      <c r="F19" s="19">
        <f>E19*C19</f>
        <v>0</v>
      </c>
    </row>
    <row r="20" spans="1:6" ht="30.9" x14ac:dyDescent="0.4">
      <c r="A20" s="54" t="s">
        <v>121</v>
      </c>
      <c r="B20" s="14" t="s">
        <v>20</v>
      </c>
      <c r="C20" s="42"/>
      <c r="D20" s="13" t="s">
        <v>11</v>
      </c>
      <c r="E20" s="20"/>
      <c r="F20" s="20"/>
    </row>
    <row r="21" spans="1:6" ht="15.9" thickBot="1" x14ac:dyDescent="0.45">
      <c r="A21" s="21"/>
      <c r="B21" s="22"/>
      <c r="C21" s="23"/>
      <c r="D21" s="21"/>
      <c r="E21" s="29"/>
      <c r="F21" s="29"/>
    </row>
    <row r="22" spans="1:6" ht="19.3" thickBot="1" x14ac:dyDescent="0.45">
      <c r="A22" s="15"/>
      <c r="B22" s="16"/>
      <c r="C22" s="12"/>
      <c r="D22" s="12"/>
      <c r="E22" s="31" t="s">
        <v>0</v>
      </c>
      <c r="F22" s="30">
        <f>SUM(F6:F21)</f>
        <v>0</v>
      </c>
    </row>
  </sheetData>
  <mergeCells count="1">
    <mergeCell ref="C2:F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36221e6-6dab-468c-8797-753c1e74b014" xsi:nil="true"/>
    <lcf76f155ced4ddcb4097134ff3c332f xmlns="98f7fba0-07d5-4210-90e2-483d03505bd8">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CB9FA3AFB2014A8CED244E09D7798E" ma:contentTypeVersion="18" ma:contentTypeDescription="Create a new document." ma:contentTypeScope="" ma:versionID="597dbfa494deb9f2779c7e3777dd6ff3">
  <xsd:schema xmlns:xsd="http://www.w3.org/2001/XMLSchema" xmlns:xs="http://www.w3.org/2001/XMLSchema" xmlns:p="http://schemas.microsoft.com/office/2006/metadata/properties" xmlns:ns1="http://schemas.microsoft.com/sharepoint/v3" xmlns:ns2="a36221e6-6dab-468c-8797-753c1e74b014" xmlns:ns3="98f7fba0-07d5-4210-90e2-483d03505bd8" targetNamespace="http://schemas.microsoft.com/office/2006/metadata/properties" ma:root="true" ma:fieldsID="e02100f6ce3d4ea531678060ea399bd9" ns1:_="" ns2:_="" ns3:_="">
    <xsd:import namespace="http://schemas.microsoft.com/sharepoint/v3"/>
    <xsd:import namespace="a36221e6-6dab-468c-8797-753c1e74b014"/>
    <xsd:import namespace="98f7fba0-07d5-4210-90e2-483d03505bd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21e6-6dab-468c-8797-753c1e74b0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89a45e-b8a8-41cc-a84a-dd5c33d97d99}" ma:internalName="TaxCatchAll" ma:showField="CatchAllData" ma:web="a36221e6-6dab-468c-8797-753c1e74b01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f7fba0-07d5-4210-90e2-483d03505bd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5F47F7-AC99-4692-A42C-010D1CBC3AAF}">
  <ds:schemaRefs>
    <ds:schemaRef ds:uri="http://schemas.microsoft.com/sharepoint/v3/contenttype/forms"/>
  </ds:schemaRefs>
</ds:datastoreItem>
</file>

<file path=customXml/itemProps2.xml><?xml version="1.0" encoding="utf-8"?>
<ds:datastoreItem xmlns:ds="http://schemas.openxmlformats.org/officeDocument/2006/customXml" ds:itemID="{7488998C-1E3E-4955-91B5-8FBCB9DADDD1}">
  <ds:schemaRefs>
    <ds:schemaRef ds:uri="http://schemas.microsoft.com/office/2006/metadata/properties"/>
    <ds:schemaRef ds:uri="http://schemas.microsoft.com/office/infopath/2007/PartnerControls"/>
    <ds:schemaRef ds:uri="http://schemas.microsoft.com/sharepoint/v3"/>
    <ds:schemaRef ds:uri="a36221e6-6dab-468c-8797-753c1e74b014"/>
    <ds:schemaRef ds:uri="98f7fba0-07d5-4210-90e2-483d03505bd8"/>
  </ds:schemaRefs>
</ds:datastoreItem>
</file>

<file path=customXml/itemProps3.xml><?xml version="1.0" encoding="utf-8"?>
<ds:datastoreItem xmlns:ds="http://schemas.openxmlformats.org/officeDocument/2006/customXml" ds:itemID="{A175F150-4673-4D85-9CD9-98B2ED5C8F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6221e6-6dab-468c-8797-753c1e74b014"/>
    <ds:schemaRef ds:uri="98f7fba0-07d5-4210-90e2-483d03505b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BASE YEAR</vt:lpstr>
      <vt:lpstr>Option Year I</vt:lpstr>
      <vt:lpstr>Option Year II</vt:lpstr>
      <vt:lpstr>Option Year III</vt:lpstr>
      <vt:lpstr>Option Year IV</vt:lpstr>
      <vt:lpstr>Option Year V </vt:lpstr>
      <vt:lpstr>Option Year VI</vt:lpstr>
    </vt:vector>
  </TitlesOfParts>
  <Manager/>
  <Company>U.S.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orrin.israel</dc:creator>
  <cp:keywords/>
  <dc:description/>
  <cp:lastModifiedBy>Duncan, Erin S CIV USARMY ACC MICC (USA)</cp:lastModifiedBy>
  <cp:revision/>
  <cp:lastPrinted>2025-07-10T15:59:45Z</cp:lastPrinted>
  <dcterms:created xsi:type="dcterms:W3CDTF">2009-07-20T13:55:59Z</dcterms:created>
  <dcterms:modified xsi:type="dcterms:W3CDTF">2026-01-13T21:35:19Z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0x010100B1CB9FA3AFB2014A8CED244E09D7798E</vt:lpwstr>
  </property>
  <property fmtid="{D5CDD505-2E9C-101B-9397-08002B2CF9AE}" pid="3" name="MediaServiceImageTags">
    <vt:lpwstr/>
  </property>
</Properties>
</file>