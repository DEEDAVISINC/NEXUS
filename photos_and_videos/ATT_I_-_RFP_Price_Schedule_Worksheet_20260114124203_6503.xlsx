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O:\AProcurement\2026\26-325 Temporary Staffing and Recruitment Services\Tab E - RFP Issued\"/>
    </mc:Choice>
  </mc:AlternateContent>
  <xr:revisionPtr revIDLastSave="0" documentId="13_ncr:1_{546188EA-BE8C-47AE-952C-48538A3959D5}" xr6:coauthVersionLast="47" xr6:coauthVersionMax="47" xr10:uidLastSave="{00000000-0000-0000-0000-000000000000}"/>
  <bookViews>
    <workbookView xWindow="-28920" yWindow="-975" windowWidth="29040" windowHeight="15720" xr2:uid="{BCDFA2C8-0AC6-4E1D-875D-C7774F85F765}"/>
  </bookViews>
  <sheets>
    <sheet name="5-Year Temp Svcs Projections" sheetId="3" r:id="rId1"/>
    <sheet name="5-Year Direct Hire Projections" sheetId="5" r:id="rId2"/>
    <sheet name="5-Year Category Totals" sheetId="6" state="hidden" r:id="rId3"/>
    <sheet name="5-Year Projections Plus" sheetId="4"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5" i="3" l="1"/>
  <c r="H132" i="3"/>
  <c r="H128" i="3"/>
  <c r="H124" i="3"/>
  <c r="H117" i="3"/>
  <c r="H108" i="3"/>
  <c r="H105" i="3"/>
  <c r="H101" i="3"/>
  <c r="H97" i="3"/>
  <c r="H90" i="3"/>
  <c r="H54" i="3"/>
  <c r="H51" i="3"/>
  <c r="H47" i="3"/>
  <c r="H43" i="3"/>
  <c r="H36" i="3"/>
  <c r="H81" i="3"/>
  <c r="H78" i="3"/>
  <c r="H74" i="3"/>
  <c r="H70" i="3"/>
  <c r="H63" i="3"/>
  <c r="H27" i="3"/>
  <c r="H24" i="3"/>
  <c r="H20" i="3"/>
  <c r="H16" i="3"/>
  <c r="H9" i="3"/>
  <c r="F19" i="3"/>
  <c r="G19" i="3" s="1"/>
  <c r="I19" i="3" s="1"/>
  <c r="G23" i="6"/>
  <c r="G19" i="6"/>
  <c r="G20" i="6"/>
  <c r="G21" i="6"/>
  <c r="G22" i="6"/>
  <c r="G18" i="6"/>
  <c r="F99" i="3"/>
  <c r="G99" i="3" s="1"/>
  <c r="I99" i="3" s="1"/>
  <c r="F45" i="3"/>
  <c r="G45" i="3" s="1"/>
  <c r="I45" i="3" s="1"/>
  <c r="F72" i="3"/>
  <c r="G72" i="3" s="1"/>
  <c r="I72" i="3" s="1"/>
  <c r="F126" i="3"/>
  <c r="G126" i="3" s="1"/>
  <c r="I126" i="3" s="1"/>
  <c r="F125" i="3"/>
  <c r="G125" i="3" s="1"/>
  <c r="I125" i="3" s="1"/>
  <c r="F18" i="3"/>
  <c r="G18" i="3" s="1"/>
  <c r="I18" i="3" s="1"/>
  <c r="F8" i="3"/>
  <c r="G8" i="3" s="1"/>
  <c r="I8" i="3" s="1"/>
  <c r="F22" i="6"/>
  <c r="F21" i="6"/>
  <c r="F20" i="6"/>
  <c r="F19" i="6"/>
  <c r="E22" i="6"/>
  <c r="E21" i="6"/>
  <c r="E20" i="6"/>
  <c r="E19" i="6"/>
  <c r="E18" i="6"/>
  <c r="E23" i="6" s="1"/>
  <c r="C21" i="6"/>
  <c r="F5" i="5"/>
  <c r="C19" i="6" s="1"/>
  <c r="F7" i="5"/>
  <c r="D8" i="5"/>
  <c r="F18" i="6" s="1"/>
  <c r="F23" i="6" s="1"/>
  <c r="D7" i="5"/>
  <c r="D6" i="5"/>
  <c r="D18" i="6" s="1"/>
  <c r="L6" i="5"/>
  <c r="L7" i="5"/>
  <c r="L8" i="5"/>
  <c r="J6" i="5"/>
  <c r="D21" i="6" s="1"/>
  <c r="J7" i="5"/>
  <c r="J8" i="5"/>
  <c r="H6" i="5"/>
  <c r="D20" i="6" s="1"/>
  <c r="H7" i="5"/>
  <c r="H8" i="5"/>
  <c r="F6" i="5"/>
  <c r="D19" i="6" s="1"/>
  <c r="F8" i="5"/>
  <c r="L5" i="5"/>
  <c r="C22" i="6" s="1"/>
  <c r="J5" i="5"/>
  <c r="H5" i="5"/>
  <c r="D5" i="5"/>
  <c r="C18" i="6" s="1"/>
  <c r="J34" i="4"/>
  <c r="P34" i="4"/>
  <c r="N19" i="4"/>
  <c r="O19" i="4"/>
  <c r="N21" i="4"/>
  <c r="O21" i="4" s="1"/>
  <c r="H129" i="4"/>
  <c r="F127" i="4"/>
  <c r="G127" i="4" s="1"/>
  <c r="I127" i="4" s="1"/>
  <c r="J129" i="4" s="1"/>
  <c r="F125" i="4"/>
  <c r="G125" i="4" s="1"/>
  <c r="I125" i="4" s="1"/>
  <c r="F124" i="4"/>
  <c r="G124" i="4" s="1"/>
  <c r="I124" i="4" s="1"/>
  <c r="F123" i="4"/>
  <c r="G123" i="4" s="1"/>
  <c r="I123" i="4" s="1"/>
  <c r="J126" i="4" s="1"/>
  <c r="F120" i="4"/>
  <c r="G120" i="4" s="1"/>
  <c r="I120" i="4" s="1"/>
  <c r="J122" i="4" s="1"/>
  <c r="F118" i="4"/>
  <c r="G118" i="4" s="1"/>
  <c r="I118" i="4" s="1"/>
  <c r="F117" i="4"/>
  <c r="G117" i="4" s="1"/>
  <c r="I117" i="4" s="1"/>
  <c r="F116" i="4"/>
  <c r="G116" i="4" s="1"/>
  <c r="I116" i="4" s="1"/>
  <c r="F115" i="4"/>
  <c r="G115" i="4" s="1"/>
  <c r="I115" i="4" s="1"/>
  <c r="F114" i="4"/>
  <c r="G114" i="4" s="1"/>
  <c r="I114" i="4" s="1"/>
  <c r="F113" i="4"/>
  <c r="G113" i="4" s="1"/>
  <c r="I113" i="4" s="1"/>
  <c r="F111" i="4"/>
  <c r="G111" i="4" s="1"/>
  <c r="I111" i="4" s="1"/>
  <c r="F110" i="4"/>
  <c r="G110" i="4" s="1"/>
  <c r="I110" i="4" s="1"/>
  <c r="F109" i="4"/>
  <c r="G109" i="4" s="1"/>
  <c r="I109" i="4" s="1"/>
  <c r="F108" i="4"/>
  <c r="G108" i="4" s="1"/>
  <c r="I108" i="4" s="1"/>
  <c r="F107" i="4"/>
  <c r="G107" i="4" s="1"/>
  <c r="I107" i="4" s="1"/>
  <c r="H103" i="4"/>
  <c r="F101" i="4"/>
  <c r="G101" i="4" s="1"/>
  <c r="I101" i="4" s="1"/>
  <c r="J103" i="4" s="1"/>
  <c r="F99" i="4"/>
  <c r="G99" i="4" s="1"/>
  <c r="I99" i="4" s="1"/>
  <c r="F98" i="4"/>
  <c r="G98" i="4" s="1"/>
  <c r="I98" i="4" s="1"/>
  <c r="F97" i="4"/>
  <c r="G97" i="4" s="1"/>
  <c r="I97" i="4" s="1"/>
  <c r="J100" i="4" s="1"/>
  <c r="F94" i="4"/>
  <c r="G94" i="4" s="1"/>
  <c r="I94" i="4" s="1"/>
  <c r="J96" i="4" s="1"/>
  <c r="F92" i="4"/>
  <c r="G92" i="4" s="1"/>
  <c r="I92" i="4" s="1"/>
  <c r="F91" i="4"/>
  <c r="G91" i="4" s="1"/>
  <c r="I91" i="4" s="1"/>
  <c r="F90" i="4"/>
  <c r="G90" i="4" s="1"/>
  <c r="I90" i="4" s="1"/>
  <c r="F89" i="4"/>
  <c r="G89" i="4" s="1"/>
  <c r="I89" i="4" s="1"/>
  <c r="F88" i="4"/>
  <c r="G88" i="4" s="1"/>
  <c r="I88" i="4" s="1"/>
  <c r="F87" i="4"/>
  <c r="G87" i="4" s="1"/>
  <c r="I87" i="4" s="1"/>
  <c r="F85" i="4"/>
  <c r="G85" i="4" s="1"/>
  <c r="I85" i="4" s="1"/>
  <c r="F84" i="4"/>
  <c r="G84" i="4" s="1"/>
  <c r="I84" i="4" s="1"/>
  <c r="F83" i="4"/>
  <c r="G83" i="4" s="1"/>
  <c r="I83" i="4" s="1"/>
  <c r="F82" i="4"/>
  <c r="G82" i="4" s="1"/>
  <c r="I82" i="4" s="1"/>
  <c r="F81" i="4"/>
  <c r="G81" i="4" s="1"/>
  <c r="I81" i="4" s="1"/>
  <c r="H77" i="4"/>
  <c r="F75" i="4"/>
  <c r="G75" i="4" s="1"/>
  <c r="I75" i="4" s="1"/>
  <c r="J77" i="4" s="1"/>
  <c r="F73" i="4"/>
  <c r="G73" i="4" s="1"/>
  <c r="I73" i="4" s="1"/>
  <c r="F72" i="4"/>
  <c r="G72" i="4" s="1"/>
  <c r="I72" i="4" s="1"/>
  <c r="F71" i="4"/>
  <c r="G71" i="4" s="1"/>
  <c r="I71" i="4" s="1"/>
  <c r="J74" i="4" s="1"/>
  <c r="F68" i="4"/>
  <c r="G68" i="4" s="1"/>
  <c r="I68" i="4" s="1"/>
  <c r="J70" i="4" s="1"/>
  <c r="F66" i="4"/>
  <c r="G66" i="4" s="1"/>
  <c r="I66" i="4" s="1"/>
  <c r="F65" i="4"/>
  <c r="G65" i="4" s="1"/>
  <c r="I65" i="4" s="1"/>
  <c r="F64" i="4"/>
  <c r="G64" i="4" s="1"/>
  <c r="I64" i="4" s="1"/>
  <c r="F63" i="4"/>
  <c r="G63" i="4" s="1"/>
  <c r="I63" i="4" s="1"/>
  <c r="F62" i="4"/>
  <c r="G62" i="4" s="1"/>
  <c r="I62" i="4" s="1"/>
  <c r="F61" i="4"/>
  <c r="G61" i="4" s="1"/>
  <c r="I61" i="4" s="1"/>
  <c r="F59" i="4"/>
  <c r="G59" i="4" s="1"/>
  <c r="I59" i="4" s="1"/>
  <c r="F58" i="4"/>
  <c r="G58" i="4" s="1"/>
  <c r="I58" i="4" s="1"/>
  <c r="F57" i="4"/>
  <c r="G57" i="4" s="1"/>
  <c r="I57" i="4" s="1"/>
  <c r="F56" i="4"/>
  <c r="G56" i="4" s="1"/>
  <c r="I56" i="4" s="1"/>
  <c r="F55" i="4"/>
  <c r="G55" i="4" s="1"/>
  <c r="I55" i="4" s="1"/>
  <c r="H51" i="4"/>
  <c r="F49" i="4"/>
  <c r="G49" i="4" s="1"/>
  <c r="I49" i="4" s="1"/>
  <c r="J51" i="4" s="1"/>
  <c r="F47" i="4"/>
  <c r="G47" i="4" s="1"/>
  <c r="I47" i="4" s="1"/>
  <c r="F46" i="4"/>
  <c r="G46" i="4" s="1"/>
  <c r="I46" i="4" s="1"/>
  <c r="F45" i="4"/>
  <c r="G45" i="4" s="1"/>
  <c r="I45" i="4" s="1"/>
  <c r="J48" i="4" s="1"/>
  <c r="F42" i="4"/>
  <c r="G42" i="4" s="1"/>
  <c r="I42" i="4" s="1"/>
  <c r="J44" i="4" s="1"/>
  <c r="F40" i="4"/>
  <c r="G40" i="4" s="1"/>
  <c r="I40" i="4" s="1"/>
  <c r="F39" i="4"/>
  <c r="G39" i="4" s="1"/>
  <c r="I39" i="4" s="1"/>
  <c r="F38" i="4"/>
  <c r="G38" i="4" s="1"/>
  <c r="I38" i="4" s="1"/>
  <c r="F37" i="4"/>
  <c r="G37" i="4" s="1"/>
  <c r="I37" i="4" s="1"/>
  <c r="F36" i="4"/>
  <c r="G36" i="4" s="1"/>
  <c r="I36" i="4" s="1"/>
  <c r="F35" i="4"/>
  <c r="G35" i="4" s="1"/>
  <c r="I35" i="4" s="1"/>
  <c r="F33" i="4"/>
  <c r="G33" i="4" s="1"/>
  <c r="I33" i="4" s="1"/>
  <c r="F32" i="4"/>
  <c r="G32" i="4" s="1"/>
  <c r="I32" i="4" s="1"/>
  <c r="F31" i="4"/>
  <c r="G31" i="4" s="1"/>
  <c r="I31" i="4" s="1"/>
  <c r="F30" i="4"/>
  <c r="G30" i="4" s="1"/>
  <c r="I30" i="4" s="1"/>
  <c r="F29" i="4"/>
  <c r="G29" i="4" s="1"/>
  <c r="I29" i="4" s="1"/>
  <c r="H25" i="4"/>
  <c r="F23" i="4"/>
  <c r="G23" i="4" s="1"/>
  <c r="I23" i="4" s="1"/>
  <c r="J25" i="4" s="1"/>
  <c r="P38" i="4" s="1"/>
  <c r="F21" i="4"/>
  <c r="G21" i="4" s="1"/>
  <c r="I21" i="4" s="1"/>
  <c r="F20" i="4"/>
  <c r="G20" i="4" s="1"/>
  <c r="I20" i="4" s="1"/>
  <c r="N20" i="4"/>
  <c r="O20" i="4" s="1"/>
  <c r="F19" i="4"/>
  <c r="G19" i="4" s="1"/>
  <c r="I19" i="4" s="1"/>
  <c r="F16" i="4"/>
  <c r="G16" i="4" s="1"/>
  <c r="I16" i="4" s="1"/>
  <c r="J18" i="4" s="1"/>
  <c r="F14" i="4"/>
  <c r="G14" i="4" s="1"/>
  <c r="I14" i="4" s="1"/>
  <c r="F13" i="4"/>
  <c r="G13" i="4" s="1"/>
  <c r="I13" i="4" s="1"/>
  <c r="F12" i="4"/>
  <c r="G12" i="4" s="1"/>
  <c r="I12" i="4" s="1"/>
  <c r="F11" i="4"/>
  <c r="G11" i="4" s="1"/>
  <c r="I11" i="4" s="1"/>
  <c r="F10" i="4"/>
  <c r="G10" i="4" s="1"/>
  <c r="I10" i="4" s="1"/>
  <c r="F9" i="4"/>
  <c r="G9" i="4" s="1"/>
  <c r="I9" i="4" s="1"/>
  <c r="F7" i="4"/>
  <c r="G7" i="4" s="1"/>
  <c r="I7" i="4" s="1"/>
  <c r="F6" i="4"/>
  <c r="G6" i="4" s="1"/>
  <c r="I6" i="4" s="1"/>
  <c r="F5" i="4"/>
  <c r="G5" i="4" s="1"/>
  <c r="I5" i="4" s="1"/>
  <c r="F4" i="4"/>
  <c r="G4" i="4" s="1"/>
  <c r="I4" i="4" s="1"/>
  <c r="F3" i="4"/>
  <c r="G3" i="4" s="1"/>
  <c r="I3" i="4" s="1"/>
  <c r="F116" i="3"/>
  <c r="G116" i="3" s="1"/>
  <c r="I116" i="3" s="1"/>
  <c r="F89" i="3"/>
  <c r="G89" i="3" s="1"/>
  <c r="I89" i="3" s="1"/>
  <c r="F62" i="3"/>
  <c r="G62" i="3" s="1"/>
  <c r="I62" i="3" s="1"/>
  <c r="F35" i="3"/>
  <c r="G35" i="3" s="1"/>
  <c r="I35" i="3" s="1"/>
  <c r="F113" i="3"/>
  <c r="G113" i="3" s="1"/>
  <c r="F133" i="3"/>
  <c r="G133" i="3" s="1"/>
  <c r="F131" i="3"/>
  <c r="G131" i="3" s="1"/>
  <c r="I131" i="3" s="1"/>
  <c r="F130" i="3"/>
  <c r="G130" i="3" s="1"/>
  <c r="I130" i="3" s="1"/>
  <c r="F129" i="3"/>
  <c r="G129" i="3" s="1"/>
  <c r="F123" i="3"/>
  <c r="G123" i="3" s="1"/>
  <c r="I123" i="3" s="1"/>
  <c r="F122" i="3"/>
  <c r="G122" i="3" s="1"/>
  <c r="I122" i="3" s="1"/>
  <c r="F121" i="3"/>
  <c r="G121" i="3" s="1"/>
  <c r="I121" i="3" s="1"/>
  <c r="F120" i="3"/>
  <c r="G120" i="3" s="1"/>
  <c r="I120" i="3" s="1"/>
  <c r="F119" i="3"/>
  <c r="G119" i="3" s="1"/>
  <c r="I119" i="3" s="1"/>
  <c r="F118" i="3"/>
  <c r="G118" i="3" s="1"/>
  <c r="F115" i="3"/>
  <c r="G115" i="3" s="1"/>
  <c r="I115" i="3" s="1"/>
  <c r="F127" i="3"/>
  <c r="G127" i="3" s="1"/>
  <c r="I127" i="3" s="1"/>
  <c r="F114" i="3"/>
  <c r="G114" i="3" s="1"/>
  <c r="I114" i="3" s="1"/>
  <c r="F106" i="3"/>
  <c r="G106" i="3" s="1"/>
  <c r="F104" i="3"/>
  <c r="G104" i="3" s="1"/>
  <c r="I104" i="3" s="1"/>
  <c r="F103" i="3"/>
  <c r="G103" i="3" s="1"/>
  <c r="I103" i="3" s="1"/>
  <c r="F102" i="3"/>
  <c r="G102" i="3" s="1"/>
  <c r="F98" i="3"/>
  <c r="G98" i="3" s="1"/>
  <c r="F96" i="3"/>
  <c r="G96" i="3" s="1"/>
  <c r="I96" i="3" s="1"/>
  <c r="F95" i="3"/>
  <c r="G95" i="3" s="1"/>
  <c r="I95" i="3" s="1"/>
  <c r="F94" i="3"/>
  <c r="G94" i="3" s="1"/>
  <c r="I94" i="3" s="1"/>
  <c r="F93" i="3"/>
  <c r="G93" i="3" s="1"/>
  <c r="I93" i="3" s="1"/>
  <c r="F92" i="3"/>
  <c r="G92" i="3" s="1"/>
  <c r="I92" i="3" s="1"/>
  <c r="F91" i="3"/>
  <c r="G91" i="3" s="1"/>
  <c r="F88" i="3"/>
  <c r="G88" i="3" s="1"/>
  <c r="I88" i="3" s="1"/>
  <c r="F100" i="3"/>
  <c r="G100" i="3" s="1"/>
  <c r="I100" i="3" s="1"/>
  <c r="F87" i="3"/>
  <c r="G87" i="3" s="1"/>
  <c r="I87" i="3" s="1"/>
  <c r="F86" i="3"/>
  <c r="G86" i="3" s="1"/>
  <c r="F79" i="3"/>
  <c r="G79" i="3" s="1"/>
  <c r="F77" i="3"/>
  <c r="G77" i="3" s="1"/>
  <c r="I77" i="3" s="1"/>
  <c r="F76" i="3"/>
  <c r="G76" i="3" s="1"/>
  <c r="I76" i="3" s="1"/>
  <c r="F75" i="3"/>
  <c r="G75" i="3" s="1"/>
  <c r="F71" i="3"/>
  <c r="G71" i="3" s="1"/>
  <c r="F69" i="3"/>
  <c r="G69" i="3" s="1"/>
  <c r="I69" i="3" s="1"/>
  <c r="F68" i="3"/>
  <c r="G68" i="3" s="1"/>
  <c r="I68" i="3" s="1"/>
  <c r="F67" i="3"/>
  <c r="G67" i="3" s="1"/>
  <c r="I67" i="3" s="1"/>
  <c r="F66" i="3"/>
  <c r="G66" i="3" s="1"/>
  <c r="I66" i="3" s="1"/>
  <c r="F65" i="3"/>
  <c r="G65" i="3" s="1"/>
  <c r="I65" i="3" s="1"/>
  <c r="F64" i="3"/>
  <c r="G64" i="3" s="1"/>
  <c r="F61" i="3"/>
  <c r="G61" i="3" s="1"/>
  <c r="I61" i="3" s="1"/>
  <c r="F73" i="3"/>
  <c r="G73" i="3" s="1"/>
  <c r="I73" i="3" s="1"/>
  <c r="F60" i="3"/>
  <c r="G60" i="3" s="1"/>
  <c r="I60" i="3" s="1"/>
  <c r="F59" i="3"/>
  <c r="G59" i="3" s="1"/>
  <c r="F52" i="3"/>
  <c r="G52" i="3" s="1"/>
  <c r="F50" i="3"/>
  <c r="G50" i="3" s="1"/>
  <c r="I50" i="3" s="1"/>
  <c r="F49" i="3"/>
  <c r="G49" i="3" s="1"/>
  <c r="I49" i="3" s="1"/>
  <c r="F48" i="3"/>
  <c r="G48" i="3" s="1"/>
  <c r="F44" i="3"/>
  <c r="G44" i="3" s="1"/>
  <c r="I44" i="3" s="1"/>
  <c r="F42" i="3"/>
  <c r="G42" i="3" s="1"/>
  <c r="I42" i="3" s="1"/>
  <c r="F41" i="3"/>
  <c r="G41" i="3" s="1"/>
  <c r="I41" i="3" s="1"/>
  <c r="F40" i="3"/>
  <c r="G40" i="3" s="1"/>
  <c r="I40" i="3" s="1"/>
  <c r="F39" i="3"/>
  <c r="G39" i="3" s="1"/>
  <c r="I39" i="3" s="1"/>
  <c r="F38" i="3"/>
  <c r="G38" i="3" s="1"/>
  <c r="I38" i="3" s="1"/>
  <c r="F37" i="3"/>
  <c r="G37" i="3" s="1"/>
  <c r="I37" i="3" s="1"/>
  <c r="F34" i="3"/>
  <c r="G34" i="3" s="1"/>
  <c r="I34" i="3" s="1"/>
  <c r="F46" i="3"/>
  <c r="G46" i="3" s="1"/>
  <c r="I46" i="3" s="1"/>
  <c r="F33" i="3"/>
  <c r="G33" i="3" s="1"/>
  <c r="I33" i="3" s="1"/>
  <c r="F32" i="3"/>
  <c r="G32" i="3" s="1"/>
  <c r="F25" i="3"/>
  <c r="G25" i="3" s="1"/>
  <c r="F23" i="3"/>
  <c r="G23" i="3" s="1"/>
  <c r="I23" i="3" s="1"/>
  <c r="F22" i="3"/>
  <c r="G22" i="3" s="1"/>
  <c r="I22" i="3" s="1"/>
  <c r="F21" i="3"/>
  <c r="G21" i="3" s="1"/>
  <c r="F17" i="3"/>
  <c r="G17" i="3" s="1"/>
  <c r="I17" i="3" s="1"/>
  <c r="F15" i="3"/>
  <c r="G15" i="3" s="1"/>
  <c r="I15" i="3" s="1"/>
  <c r="F14" i="3"/>
  <c r="G14" i="3" s="1"/>
  <c r="I14" i="3" s="1"/>
  <c r="F13" i="3"/>
  <c r="G13" i="3" s="1"/>
  <c r="I13" i="3" s="1"/>
  <c r="F12" i="3"/>
  <c r="G12" i="3" s="1"/>
  <c r="I12" i="3" s="1"/>
  <c r="F11" i="3"/>
  <c r="G11" i="3" s="1"/>
  <c r="I11" i="3" s="1"/>
  <c r="F10" i="3"/>
  <c r="G10" i="3" s="1"/>
  <c r="F6" i="3"/>
  <c r="G6" i="3" s="1"/>
  <c r="I6" i="3" s="1"/>
  <c r="F7" i="3"/>
  <c r="G7" i="3" s="1"/>
  <c r="I7" i="3" s="1"/>
  <c r="F5" i="3"/>
  <c r="G5" i="3" s="1"/>
  <c r="I5" i="3" s="1"/>
  <c r="H82" i="3" l="1"/>
  <c r="H109" i="3"/>
  <c r="H136" i="3"/>
  <c r="H55" i="3"/>
  <c r="H28" i="3"/>
  <c r="G124" i="3"/>
  <c r="I124" i="3" s="1"/>
  <c r="G101" i="3"/>
  <c r="I101" i="3" s="1"/>
  <c r="G90" i="3"/>
  <c r="I90" i="3" s="1"/>
  <c r="I118" i="3"/>
  <c r="G70" i="3"/>
  <c r="I70" i="3" s="1"/>
  <c r="G20" i="3"/>
  <c r="I20" i="3" s="1"/>
  <c r="G24" i="3"/>
  <c r="I24" i="3" s="1"/>
  <c r="I10" i="3"/>
  <c r="G16" i="3"/>
  <c r="I16" i="3" s="1"/>
  <c r="D5" i="6" s="1"/>
  <c r="G128" i="3"/>
  <c r="I128" i="3" s="1"/>
  <c r="G97" i="3"/>
  <c r="I97" i="3" s="1"/>
  <c r="G43" i="3"/>
  <c r="I43" i="3" s="1"/>
  <c r="D6" i="6" s="1"/>
  <c r="G36" i="3"/>
  <c r="I36" i="3" s="1"/>
  <c r="G74" i="3"/>
  <c r="I74" i="3" s="1"/>
  <c r="I48" i="3"/>
  <c r="G51" i="3"/>
  <c r="I51" i="3" s="1"/>
  <c r="G47" i="3"/>
  <c r="I47" i="3" s="1"/>
  <c r="E6" i="6" s="1"/>
  <c r="G9" i="3"/>
  <c r="I9" i="3" s="1"/>
  <c r="I113" i="3"/>
  <c r="G117" i="3"/>
  <c r="I117" i="3" s="1"/>
  <c r="I133" i="3"/>
  <c r="G135" i="3"/>
  <c r="I135" i="3" s="1"/>
  <c r="I129" i="3"/>
  <c r="G132" i="3"/>
  <c r="I132" i="3" s="1"/>
  <c r="D10" i="6"/>
  <c r="I106" i="3"/>
  <c r="G108" i="3"/>
  <c r="I108" i="3" s="1"/>
  <c r="I102" i="3"/>
  <c r="G105" i="3"/>
  <c r="I105" i="3" s="1"/>
  <c r="I98" i="3"/>
  <c r="I91" i="3"/>
  <c r="D9" i="6" s="1"/>
  <c r="I86" i="3"/>
  <c r="I79" i="3"/>
  <c r="G81" i="3"/>
  <c r="I81" i="3" s="1"/>
  <c r="I75" i="3"/>
  <c r="G78" i="3"/>
  <c r="I78" i="3" s="1"/>
  <c r="I71" i="3"/>
  <c r="I64" i="3"/>
  <c r="I59" i="3"/>
  <c r="G63" i="3"/>
  <c r="I63" i="3" s="1"/>
  <c r="I52" i="3"/>
  <c r="G54" i="3"/>
  <c r="I54" i="3" s="1"/>
  <c r="I32" i="3"/>
  <c r="I25" i="3"/>
  <c r="G27" i="3"/>
  <c r="I27" i="3" s="1"/>
  <c r="I21" i="3"/>
  <c r="D22" i="6"/>
  <c r="D23" i="6" s="1"/>
  <c r="L9" i="5"/>
  <c r="D9" i="5"/>
  <c r="O5" i="5"/>
  <c r="H9" i="5"/>
  <c r="C20" i="6"/>
  <c r="C23" i="6" s="1"/>
  <c r="J9" i="5"/>
  <c r="F9" i="5"/>
  <c r="O9" i="5"/>
  <c r="O8" i="5"/>
  <c r="O7" i="5"/>
  <c r="O6" i="5"/>
  <c r="J67" i="4"/>
  <c r="J41" i="4"/>
  <c r="I132" i="4"/>
  <c r="J22" i="4"/>
  <c r="P37" i="4" s="1"/>
  <c r="J15" i="4"/>
  <c r="P36" i="4"/>
  <c r="J112" i="4"/>
  <c r="I129" i="4"/>
  <c r="N7" i="4" s="1"/>
  <c r="J86" i="4"/>
  <c r="I103" i="4"/>
  <c r="N6" i="4" s="1"/>
  <c r="J60" i="4"/>
  <c r="I77" i="4"/>
  <c r="N5" i="4" s="1"/>
  <c r="I51" i="4"/>
  <c r="N4" i="4" s="1"/>
  <c r="J8" i="4"/>
  <c r="I25" i="4"/>
  <c r="N3" i="4" s="1"/>
  <c r="J119" i="4"/>
  <c r="J93" i="4"/>
  <c r="E7" i="6" l="1"/>
  <c r="G6" i="6"/>
  <c r="G8" i="6" s="1"/>
  <c r="G9" i="6"/>
  <c r="F7" i="6"/>
  <c r="F10" i="6"/>
  <c r="I28" i="3"/>
  <c r="G7" i="6"/>
  <c r="G10" i="6"/>
  <c r="G11" i="6" s="1"/>
  <c r="D7" i="6"/>
  <c r="F6" i="6"/>
  <c r="G5" i="6"/>
  <c r="F9" i="6"/>
  <c r="F11" i="6" s="1"/>
  <c r="F5" i="6"/>
  <c r="F8" i="6" s="1"/>
  <c r="I82" i="3"/>
  <c r="L7" i="3" s="1"/>
  <c r="C10" i="6"/>
  <c r="I136" i="3"/>
  <c r="L9" i="3" s="1"/>
  <c r="E9" i="6"/>
  <c r="I109" i="3"/>
  <c r="L8" i="3" s="1"/>
  <c r="C6" i="6"/>
  <c r="I55" i="3"/>
  <c r="L6" i="3" s="1"/>
  <c r="D11" i="6"/>
  <c r="D8" i="6"/>
  <c r="E10" i="6"/>
  <c r="C9" i="6"/>
  <c r="C7" i="6"/>
  <c r="O11" i="5"/>
  <c r="P35" i="4"/>
  <c r="I131" i="4"/>
  <c r="N9" i="4"/>
  <c r="C11" i="6" l="1"/>
  <c r="C5" i="6"/>
  <c r="C8" i="6" s="1"/>
  <c r="L5" i="3"/>
  <c r="L11" i="3" s="1"/>
  <c r="F12" i="6"/>
  <c r="G12" i="6"/>
  <c r="E11" i="6"/>
  <c r="D12" i="6"/>
  <c r="E5" i="6"/>
  <c r="E8" i="6" s="1"/>
  <c r="P39" i="4"/>
  <c r="C12" i="6" l="1"/>
  <c r="E12" i="6"/>
  <c r="H12" i="6" l="1"/>
</calcChain>
</file>

<file path=xl/sharedStrings.xml><?xml version="1.0" encoding="utf-8"?>
<sst xmlns="http://schemas.openxmlformats.org/spreadsheetml/2006/main" count="432" uniqueCount="114">
  <si>
    <t>Information Technology</t>
  </si>
  <si>
    <t>Departments</t>
  </si>
  <si>
    <t>Business Intelligence Analyst</t>
  </si>
  <si>
    <t>Business Intelligence Analyst 3</t>
  </si>
  <si>
    <t>Admin, Clerical &amp; Office Support</t>
  </si>
  <si>
    <t>Legal Support</t>
  </si>
  <si>
    <t>Finance &amp; Accounting</t>
  </si>
  <si>
    <t>General Laborers</t>
  </si>
  <si>
    <t>Retirement &amp; Pension Specialist</t>
  </si>
  <si>
    <t>Fiscal Management Resource / Accting Clerk</t>
  </si>
  <si>
    <t>Outreach Support Specialist</t>
  </si>
  <si>
    <t>EEO Specialist</t>
  </si>
  <si>
    <t>Outreach Support Assistant</t>
  </si>
  <si>
    <t>Maintenance Support Specialist</t>
  </si>
  <si>
    <t>Talent Acquisition Specialist</t>
  </si>
  <si>
    <t>Senior Accountant</t>
  </si>
  <si>
    <t>Business Continuity Analyst 2</t>
  </si>
  <si>
    <t>Temporary Clerk</t>
  </si>
  <si>
    <t>Technical Writer Level 2</t>
  </si>
  <si>
    <t>Communications Coordinator Specialist</t>
  </si>
  <si>
    <t>Senior Financial Analyst</t>
  </si>
  <si>
    <t>5-Year Projections</t>
  </si>
  <si>
    <t>Projected Annual No. of Hours</t>
  </si>
  <si>
    <t>Current FY25 Pay Rate</t>
  </si>
  <si>
    <t>5-Year Total w/o Mark-Up</t>
  </si>
  <si>
    <t>Annualized Billable Cost</t>
  </si>
  <si>
    <t>Expected Mark-Up %</t>
  </si>
  <si>
    <t>Mark-Up Dollar Amount</t>
  </si>
  <si>
    <t>Expected Bill Rate</t>
  </si>
  <si>
    <t>Positions</t>
  </si>
  <si>
    <t>Year 1</t>
  </si>
  <si>
    <t>Year 2</t>
  </si>
  <si>
    <t>Year 3</t>
  </si>
  <si>
    <t>Year 4</t>
  </si>
  <si>
    <t>Year 5</t>
  </si>
  <si>
    <t>YR1</t>
  </si>
  <si>
    <t>YR2</t>
  </si>
  <si>
    <t>YR3</t>
  </si>
  <si>
    <t>YR4</t>
  </si>
  <si>
    <t>YR5</t>
  </si>
  <si>
    <t>5-Year Total w/Mark-Up</t>
  </si>
  <si>
    <t xml:space="preserve">Business Intelligence Analyst </t>
  </si>
  <si>
    <t># of hours</t>
  </si>
  <si>
    <t>total</t>
  </si>
  <si>
    <t>YEAR 1 TOTALS</t>
  </si>
  <si>
    <t>YEAR 2 TOTALS</t>
  </si>
  <si>
    <t>YEAR 3 TOTALS</t>
  </si>
  <si>
    <t>YEAR 4 TOTALS</t>
  </si>
  <si>
    <t>YEAR 5 TOTALS</t>
  </si>
  <si>
    <t>5-Year Projections with Mark-Ups</t>
  </si>
  <si>
    <t>Current 5-Year Grand Totals With Mark-Ups</t>
  </si>
  <si>
    <t>20% Mark-Up</t>
  </si>
  <si>
    <t>30% Mark-Up</t>
  </si>
  <si>
    <t>40% Mark-Up</t>
  </si>
  <si>
    <t>Using Current Totals: Before Mark-Up % Added</t>
  </si>
  <si>
    <t>RFP 26-325</t>
  </si>
  <si>
    <t>TEMPORARY STAFFING AND RECRUITMENT SERVICES</t>
  </si>
  <si>
    <t>DIRECT PLACEMENT SERVICES</t>
  </si>
  <si>
    <t>Item No.</t>
  </si>
  <si>
    <t>YEAR 1</t>
  </si>
  <si>
    <t>YEAR 2</t>
  </si>
  <si>
    <t>YEAR 3</t>
  </si>
  <si>
    <t>YEAR 4</t>
  </si>
  <si>
    <t>YEAR 5</t>
  </si>
  <si>
    <t>TEMPORARY STAFFING SERVICES</t>
  </si>
  <si>
    <t>NOTE: Annualized Billable Cost is based on a 12-month period</t>
  </si>
  <si>
    <t>Estimated Base Salary</t>
  </si>
  <si>
    <t>YEAR 1 Percentage of Base Salary</t>
  </si>
  <si>
    <t>YEAR 2 Percentage of Base Salary</t>
  </si>
  <si>
    <t>YEAR 3 Percentage of Base Salary</t>
  </si>
  <si>
    <t>YEAR 4 Percentage of Base Salary</t>
  </si>
  <si>
    <t>YEAR 5 Percentage of Base Salary</t>
  </si>
  <si>
    <t>Equal Employment Opportunity Specialist</t>
  </si>
  <si>
    <t>ATTACHMENT  1</t>
  </si>
  <si>
    <t>**</t>
  </si>
  <si>
    <t>Up to $100,00 1st year Base salary</t>
  </si>
  <si>
    <t>*</t>
  </si>
  <si>
    <t>≥ $200,000 1st year Base salary</t>
  </si>
  <si>
    <t>NOTE:</t>
  </si>
  <si>
    <t>1*</t>
  </si>
  <si>
    <t>4**</t>
  </si>
  <si>
    <t>The Mark-Up Dollar Amount is a one-time payment paid by VIA to the Offeror for the selected direct hire candidate.</t>
  </si>
  <si>
    <t>For evalaution purposes, assume a quantity of one (1) each per Estimated Base Salary (recruitment item) annually.</t>
  </si>
  <si>
    <t>5-YR Total</t>
  </si>
  <si>
    <t>YEARLY TOTALS</t>
  </si>
  <si>
    <t xml:space="preserve">Year 1 </t>
  </si>
  <si>
    <t xml:space="preserve">Year 3 </t>
  </si>
  <si>
    <t>$150K</t>
  </si>
  <si>
    <t>$200K</t>
  </si>
  <si>
    <t>$250K+</t>
  </si>
  <si>
    <t>up to $100K</t>
  </si>
  <si>
    <t>Projected Temporary Staffing Expenses Per Category</t>
  </si>
  <si>
    <t>YEAR 1 ITEM NO.</t>
  </si>
  <si>
    <t>YEAR 2 ITEM NO.</t>
  </si>
  <si>
    <t>YEAR 3 ITEM NO.</t>
  </si>
  <si>
    <t>YEAR 4 ITEM NO.</t>
  </si>
  <si>
    <t>YEAR 5 ITEM NO.</t>
  </si>
  <si>
    <t>5-Year Direct Hire Mark-Up Projections</t>
  </si>
  <si>
    <t>Projected Direct Hire Mark-Up Dollar Amounts Per Salary Range</t>
  </si>
  <si>
    <t>NOTES:</t>
  </si>
  <si>
    <t>Offeror must propose a mark-up % for all Temporary Staffing Categories and Direct Placement Services in (Part 10) to be responsive and are encouraged to subcontract if necessary to meet this qualification of the RFP.  Any blank responses will be considered a “No Bid” and Offerors proposal may be deemed non-responsive.</t>
  </si>
  <si>
    <t>Any item quantities and/or amounts shown in the RFP and in Attachment I are VIAs best estimates for each term of the anticipated contract and shall be used for evaluation purposes.  The actual dollar amount paid will be determined by the quantity of hours and recruitment services required annually applied to the awarded Contractors mark-up (%) percentages during the term of the contract, and there is no guaranteed commitment of purchase.</t>
  </si>
  <si>
    <t>Professional Services</t>
  </si>
  <si>
    <t>Legal Support (Legal Assistant)</t>
  </si>
  <si>
    <t>AVERAGE</t>
  </si>
  <si>
    <t>Total</t>
  </si>
  <si>
    <t>Subtotal YR1 - YR3</t>
  </si>
  <si>
    <t>Compensation Program Manager</t>
  </si>
  <si>
    <t>Subtotal YR4 - YR 5</t>
  </si>
  <si>
    <t>Example positions vary in PT and FT status</t>
  </si>
  <si>
    <t>Sought positions will vary from entry to executive levels</t>
  </si>
  <si>
    <t>The pay rates for temporary staffing services will be negotiated at the time of purchase with the Contractor for each position requested.</t>
  </si>
  <si>
    <t>Offeror must complete the attached Excel Spreadsheet labeled Attachment 1 – (Price Proposal Worksheet) to be responsive.  Item Categories and/or Job Titles are subject to change during the contract term and extension periods, and multiple positions may exsiit fo reach job title.</t>
  </si>
  <si>
    <t>OFFEROR: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</si>
</sst>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31"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0"/>
      <name val="Aptos Narrow"/>
      <family val="2"/>
      <scheme val="minor"/>
    </font>
    <font>
      <sz val="11"/>
      <color rgb="FF0070C0"/>
      <name val="Aptos Narrow"/>
      <family val="2"/>
      <scheme val="minor"/>
    </font>
    <font>
      <b/>
      <sz val="11"/>
      <color rgb="FF0070C0"/>
      <name val="Aptos Narrow"/>
      <family val="2"/>
      <scheme val="minor"/>
    </font>
    <font>
      <b/>
      <sz val="12"/>
      <color theme="0"/>
      <name val="Aptos Narrow"/>
      <family val="2"/>
      <scheme val="minor"/>
    </font>
    <font>
      <b/>
      <sz val="10"/>
      <color theme="0"/>
      <name val="Aptos Narrow"/>
      <family val="2"/>
      <scheme val="minor"/>
    </font>
    <font>
      <sz val="10"/>
      <color theme="5" tint="0.59999389629810485"/>
      <name val="Aptos Narrow"/>
      <family val="2"/>
      <scheme val="minor"/>
    </font>
    <font>
      <b/>
      <sz val="10"/>
      <color theme="5" tint="0.59999389629810485"/>
      <name val="Aptos Narrow"/>
      <family val="2"/>
      <scheme val="minor"/>
    </font>
    <font>
      <b/>
      <sz val="11"/>
      <name val="Aptos Narrow"/>
      <family val="2"/>
      <scheme val="minor"/>
    </font>
    <font>
      <b/>
      <sz val="12"/>
      <color theme="1"/>
      <name val="Aptos Narrow"/>
      <family val="2"/>
      <scheme val="minor"/>
    </font>
    <font>
      <sz val="12"/>
      <name val="Aptos Narrow"/>
      <family val="2"/>
      <scheme val="minor"/>
    </font>
    <font>
      <b/>
      <sz val="18"/>
      <color theme="1"/>
      <name val="Aptos Narrow"/>
      <family val="2"/>
      <scheme val="minor"/>
    </font>
    <font>
      <sz val="14"/>
      <color theme="1"/>
      <name val="Aptos Narrow"/>
      <family val="2"/>
      <scheme val="minor"/>
    </font>
    <font>
      <sz val="14"/>
      <name val="Aptos Narrow"/>
      <family val="2"/>
      <scheme val="minor"/>
    </font>
    <font>
      <b/>
      <sz val="14"/>
      <name val="Aptos Narrow"/>
      <family val="2"/>
      <scheme val="minor"/>
    </font>
    <font>
      <sz val="10"/>
      <color theme="1"/>
      <name val="Aptos Narrow"/>
      <family val="2"/>
      <scheme val="minor"/>
    </font>
    <font>
      <b/>
      <sz val="10"/>
      <color theme="1"/>
      <name val="Aptos Narrow"/>
      <family val="2"/>
      <scheme val="minor"/>
    </font>
    <font>
      <b/>
      <sz val="12"/>
      <name val="Aptos Narrow"/>
      <family val="2"/>
      <scheme val="minor"/>
    </font>
    <font>
      <sz val="12"/>
      <color theme="1"/>
      <name val="Aptos Narrow"/>
      <family val="2"/>
      <scheme val="minor"/>
    </font>
    <font>
      <b/>
      <sz val="13"/>
      <color theme="0"/>
      <name val="Aptos Narrow"/>
      <family val="2"/>
      <scheme val="minor"/>
    </font>
    <font>
      <sz val="11"/>
      <color rgb="FFC00000"/>
      <name val="Aptos Narrow"/>
      <family val="2"/>
      <scheme val="minor"/>
    </font>
    <font>
      <sz val="10"/>
      <color rgb="FFC00000"/>
      <name val="Aptos Narrow"/>
      <family val="2"/>
      <scheme val="minor"/>
    </font>
    <font>
      <b/>
      <sz val="11"/>
      <color rgb="FFC00000"/>
      <name val="Aptos Narrow"/>
      <family val="2"/>
      <scheme val="minor"/>
    </font>
    <font>
      <sz val="8"/>
      <color theme="1"/>
      <name val="Aptos Narrow"/>
      <family val="2"/>
      <scheme val="minor"/>
    </font>
    <font>
      <sz val="11"/>
      <color theme="5"/>
      <name val="Aptos Narrow"/>
      <family val="2"/>
      <scheme val="minor"/>
    </font>
    <font>
      <b/>
      <sz val="9"/>
      <color theme="1"/>
      <name val="Aptos Narrow"/>
      <family val="2"/>
      <scheme val="minor"/>
    </font>
    <font>
      <sz val="9"/>
      <color theme="1"/>
      <name val="Aptos Narrow"/>
      <family val="2"/>
      <scheme val="minor"/>
    </font>
    <font>
      <u val="singleAccounting"/>
      <sz val="11"/>
      <color theme="1"/>
      <name val="Aptos Narrow"/>
      <family val="2"/>
      <scheme val="minor"/>
    </font>
  </fonts>
  <fills count="14">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1"/>
        <bgColor indexed="64"/>
      </patternFill>
    </fill>
    <fill>
      <patternFill patternType="solid">
        <fgColor rgb="FF7D2172"/>
        <bgColor indexed="64"/>
      </patternFill>
    </fill>
    <fill>
      <patternFill patternType="solid">
        <fgColor rgb="FF0070C0"/>
        <bgColor indexed="64"/>
      </patternFill>
    </fill>
    <fill>
      <patternFill patternType="solid">
        <fgColor theme="1" tint="0.499984740745262"/>
        <bgColor indexed="64"/>
      </patternFill>
    </fill>
    <fill>
      <patternFill patternType="solid">
        <fgColor theme="5" tint="-0.499984740745262"/>
        <bgColor indexed="64"/>
      </patternFill>
    </fill>
    <fill>
      <patternFill patternType="solid">
        <fgColor theme="0" tint="-0.14999847407452621"/>
        <bgColor indexed="64"/>
      </patternFill>
    </fill>
    <fill>
      <patternFill patternType="solid">
        <fgColor theme="3" tint="0.89999084444715716"/>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medium">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bottom style="medium">
        <color auto="1"/>
      </bottom>
      <diagonal/>
    </border>
    <border>
      <left style="thin">
        <color auto="1"/>
      </left>
      <right/>
      <top style="medium">
        <color auto="1"/>
      </top>
      <bottom/>
      <diagonal/>
    </border>
    <border>
      <left style="thin">
        <color auto="1"/>
      </left>
      <right/>
      <top style="medium">
        <color auto="1"/>
      </top>
      <bottom style="medium">
        <color auto="1"/>
      </bottom>
      <diagonal/>
    </border>
    <border>
      <left/>
      <right/>
      <top/>
      <bottom style="medium">
        <color rgb="FFFF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8">
    <xf numFmtId="0" fontId="0" fillId="0" borderId="0" xfId="0"/>
    <xf numFmtId="0" fontId="2" fillId="0" borderId="0" xfId="0" applyFont="1" applyAlignment="1">
      <alignment horizontal="center"/>
    </xf>
    <xf numFmtId="0" fontId="3" fillId="0" borderId="0" xfId="0" applyFont="1"/>
    <xf numFmtId="0" fontId="6" fillId="0" borderId="0" xfId="0" applyFont="1"/>
    <xf numFmtId="44" fontId="0" fillId="0" borderId="0" xfId="1" applyFont="1"/>
    <xf numFmtId="9" fontId="0" fillId="0" borderId="0" xfId="2" applyFont="1"/>
    <xf numFmtId="0" fontId="7" fillId="2" borderId="0" xfId="0" applyFont="1" applyFill="1" applyAlignment="1">
      <alignment horizontal="center"/>
    </xf>
    <xf numFmtId="44" fontId="7" fillId="2" borderId="0" xfId="1" applyFont="1" applyFill="1" applyAlignment="1">
      <alignment horizontal="center" wrapText="1"/>
    </xf>
    <xf numFmtId="0" fontId="6" fillId="3" borderId="0" xfId="0" applyFont="1" applyFill="1"/>
    <xf numFmtId="0" fontId="3" fillId="3" borderId="0" xfId="0" applyFont="1" applyFill="1"/>
    <xf numFmtId="44" fontId="0" fillId="3" borderId="0" xfId="1" applyFont="1" applyFill="1"/>
    <xf numFmtId="9" fontId="0" fillId="3" borderId="0" xfId="2" applyFont="1" applyFill="1"/>
    <xf numFmtId="44" fontId="0" fillId="0" borderId="0" xfId="0" applyNumberFormat="1"/>
    <xf numFmtId="0" fontId="0" fillId="3" borderId="0" xfId="0" applyFill="1"/>
    <xf numFmtId="0" fontId="0" fillId="0" borderId="0" xfId="0" applyAlignment="1">
      <alignment horizontal="center"/>
    </xf>
    <xf numFmtId="0" fontId="7" fillId="4" borderId="0" xfId="0" applyFont="1" applyFill="1" applyAlignment="1">
      <alignment horizontal="center"/>
    </xf>
    <xf numFmtId="9" fontId="0" fillId="0" borderId="0" xfId="2" applyFont="1" applyFill="1"/>
    <xf numFmtId="0" fontId="7" fillId="2" borderId="0" xfId="1" applyNumberFormat="1" applyFont="1" applyFill="1" applyAlignment="1">
      <alignment horizontal="center" wrapText="1"/>
    </xf>
    <xf numFmtId="0" fontId="0" fillId="0" borderId="0" xfId="1" applyNumberFormat="1" applyFont="1"/>
    <xf numFmtId="0" fontId="0" fillId="3" borderId="0" xfId="1" applyNumberFormat="1" applyFont="1" applyFill="1"/>
    <xf numFmtId="0" fontId="0" fillId="3" borderId="0" xfId="2" applyNumberFormat="1" applyFont="1" applyFill="1"/>
    <xf numFmtId="9" fontId="7" fillId="2" borderId="0" xfId="2" applyFont="1" applyFill="1" applyAlignment="1">
      <alignment horizontal="center" wrapText="1"/>
    </xf>
    <xf numFmtId="44" fontId="7" fillId="0" borderId="0" xfId="1" applyFont="1" applyFill="1" applyAlignment="1">
      <alignment horizontal="center" wrapText="1"/>
    </xf>
    <xf numFmtId="44" fontId="0" fillId="0" borderId="0" xfId="1" applyFont="1" applyFill="1"/>
    <xf numFmtId="44" fontId="4" fillId="0" borderId="0" xfId="0" applyNumberFormat="1" applyFont="1" applyAlignment="1">
      <alignment horizontal="center"/>
    </xf>
    <xf numFmtId="0" fontId="8" fillId="2" borderId="0" xfId="0" applyFont="1" applyFill="1" applyAlignment="1">
      <alignment horizontal="center"/>
    </xf>
    <xf numFmtId="0" fontId="9" fillId="0" borderId="0" xfId="1" applyNumberFormat="1" applyFont="1"/>
    <xf numFmtId="44" fontId="9" fillId="0" borderId="0" xfId="1" applyFont="1"/>
    <xf numFmtId="0" fontId="9" fillId="0" borderId="0" xfId="1" applyNumberFormat="1" applyFont="1" applyAlignment="1">
      <alignment horizontal="right"/>
    </xf>
    <xf numFmtId="44" fontId="9" fillId="0" borderId="0" xfId="1" applyFont="1" applyAlignment="1">
      <alignment horizontal="right"/>
    </xf>
    <xf numFmtId="44" fontId="10" fillId="0" borderId="0" xfId="1" applyFont="1" applyFill="1" applyAlignment="1">
      <alignment horizontal="center" wrapText="1"/>
    </xf>
    <xf numFmtId="44" fontId="9" fillId="0" borderId="0" xfId="1" applyFont="1" applyFill="1"/>
    <xf numFmtId="44" fontId="9" fillId="0" borderId="0" xfId="1" applyFont="1" applyFill="1" applyAlignment="1">
      <alignment horizontal="center" wrapText="1"/>
    </xf>
    <xf numFmtId="0" fontId="9" fillId="0" borderId="0" xfId="1" applyNumberFormat="1" applyFont="1" applyAlignment="1"/>
    <xf numFmtId="0" fontId="7" fillId="6" borderId="0" xfId="0" applyFont="1" applyFill="1" applyAlignment="1">
      <alignment horizontal="center"/>
    </xf>
    <xf numFmtId="44" fontId="7" fillId="6" borderId="0" xfId="1" applyFont="1" applyFill="1" applyAlignment="1">
      <alignment horizontal="center" wrapText="1"/>
    </xf>
    <xf numFmtId="9" fontId="7" fillId="6" borderId="0" xfId="2" applyFont="1" applyFill="1" applyAlignment="1">
      <alignment horizontal="center" wrapText="1"/>
    </xf>
    <xf numFmtId="0" fontId="7" fillId="6" borderId="0" xfId="1" applyNumberFormat="1" applyFont="1" applyFill="1" applyAlignment="1">
      <alignment horizontal="center" wrapText="1"/>
    </xf>
    <xf numFmtId="44" fontId="7" fillId="4" borderId="0" xfId="1" applyFont="1" applyFill="1" applyAlignment="1">
      <alignment horizontal="center" wrapText="1"/>
    </xf>
    <xf numFmtId="9" fontId="7" fillId="4" borderId="0" xfId="2" applyFont="1" applyFill="1" applyAlignment="1">
      <alignment horizontal="center" wrapText="1"/>
    </xf>
    <xf numFmtId="0" fontId="7" fillId="4" borderId="0" xfId="1" applyNumberFormat="1" applyFont="1" applyFill="1" applyAlignment="1">
      <alignment horizontal="center" wrapText="1"/>
    </xf>
    <xf numFmtId="44" fontId="5" fillId="0" borderId="0" xfId="0" applyNumberFormat="1" applyFont="1"/>
    <xf numFmtId="44" fontId="3" fillId="0" borderId="0" xfId="0" applyNumberFormat="1" applyFont="1"/>
    <xf numFmtId="0" fontId="7" fillId="8" borderId="0" xfId="0" applyFont="1" applyFill="1" applyAlignment="1">
      <alignment horizontal="center"/>
    </xf>
    <xf numFmtId="44" fontId="7" fillId="8" borderId="0" xfId="1" applyFont="1" applyFill="1" applyAlignment="1">
      <alignment horizontal="center" wrapText="1"/>
    </xf>
    <xf numFmtId="9" fontId="7" fillId="8" borderId="0" xfId="2" applyFont="1" applyFill="1" applyAlignment="1">
      <alignment horizontal="center" wrapText="1"/>
    </xf>
    <xf numFmtId="0" fontId="7" fillId="8" borderId="0" xfId="1" applyNumberFormat="1" applyFont="1" applyFill="1" applyAlignment="1">
      <alignment horizontal="center" wrapText="1"/>
    </xf>
    <xf numFmtId="0" fontId="7" fillId="0" borderId="0" xfId="0" applyFont="1" applyAlignment="1">
      <alignment horizontal="center"/>
    </xf>
    <xf numFmtId="9" fontId="7" fillId="0" borderId="0" xfId="2" applyFont="1" applyFill="1" applyAlignment="1">
      <alignment horizontal="center" wrapText="1"/>
    </xf>
    <xf numFmtId="0" fontId="8" fillId="0" borderId="0" xfId="0" applyFont="1" applyAlignment="1">
      <alignment horizontal="center"/>
    </xf>
    <xf numFmtId="0" fontId="12" fillId="0" borderId="0" xfId="0" applyFont="1"/>
    <xf numFmtId="0" fontId="7" fillId="9" borderId="0" xfId="0" applyFont="1" applyFill="1" applyAlignment="1">
      <alignment horizontal="center" wrapText="1"/>
    </xf>
    <xf numFmtId="0" fontId="7" fillId="9" borderId="0" xfId="0" applyFont="1" applyFill="1" applyAlignment="1">
      <alignment horizontal="center"/>
    </xf>
    <xf numFmtId="0" fontId="0" fillId="0" borderId="1" xfId="0" applyBorder="1" applyAlignment="1">
      <alignment horizontal="center"/>
    </xf>
    <xf numFmtId="44" fontId="0" fillId="0" borderId="1" xfId="1" applyFont="1" applyBorder="1"/>
    <xf numFmtId="44" fontId="7" fillId="9" borderId="0" xfId="1" applyFont="1" applyFill="1" applyAlignment="1">
      <alignment horizontal="center" wrapText="1"/>
    </xf>
    <xf numFmtId="9" fontId="7" fillId="9" borderId="0" xfId="2" applyFont="1" applyFill="1" applyAlignment="1">
      <alignment horizontal="center" wrapText="1"/>
    </xf>
    <xf numFmtId="0" fontId="7" fillId="9" borderId="0" xfId="1" applyNumberFormat="1" applyFont="1" applyFill="1" applyAlignment="1">
      <alignment horizontal="center" wrapText="1"/>
    </xf>
    <xf numFmtId="0" fontId="7" fillId="10" borderId="1" xfId="0" applyFont="1" applyFill="1" applyBorder="1" applyAlignment="1">
      <alignment horizontal="center" vertical="center"/>
    </xf>
    <xf numFmtId="0" fontId="7" fillId="10" borderId="1" xfId="0" applyFont="1" applyFill="1" applyBorder="1" applyAlignment="1">
      <alignment horizontal="center" wrapText="1"/>
    </xf>
    <xf numFmtId="0" fontId="7" fillId="11" borderId="0" xfId="0" applyFont="1" applyFill="1" applyAlignment="1">
      <alignment horizontal="center" vertical="center" wrapText="1"/>
    </xf>
    <xf numFmtId="44" fontId="2" fillId="0" borderId="0" xfId="0" applyNumberFormat="1" applyFont="1" applyAlignment="1">
      <alignment wrapText="1"/>
    </xf>
    <xf numFmtId="44" fontId="2" fillId="0" borderId="0" xfId="0" applyNumberFormat="1" applyFont="1" applyAlignment="1">
      <alignment horizontal="center"/>
    </xf>
    <xf numFmtId="6" fontId="13" fillId="0" borderId="1" xfId="0" applyNumberFormat="1" applyFont="1" applyBorder="1" applyAlignment="1">
      <alignment horizontal="center"/>
    </xf>
    <xf numFmtId="0" fontId="7" fillId="10" borderId="1" xfId="0" applyFont="1" applyFill="1" applyBorder="1" applyAlignment="1">
      <alignment horizontal="center" vertical="center" wrapText="1"/>
    </xf>
    <xf numFmtId="9" fontId="12" fillId="0" borderId="0" xfId="2" applyFont="1" applyAlignment="1"/>
    <xf numFmtId="9" fontId="7" fillId="10" borderId="1" xfId="2" applyFont="1" applyFill="1" applyBorder="1" applyAlignment="1">
      <alignment horizontal="center" wrapText="1"/>
    </xf>
    <xf numFmtId="9" fontId="3" fillId="0" borderId="0" xfId="2" applyFont="1"/>
    <xf numFmtId="9" fontId="7" fillId="0" borderId="0" xfId="2" applyFont="1" applyFill="1" applyAlignment="1">
      <alignment horizontal="center"/>
    </xf>
    <xf numFmtId="9" fontId="3" fillId="0" borderId="0" xfId="2" applyFont="1" applyFill="1"/>
    <xf numFmtId="9" fontId="8" fillId="0" borderId="0" xfId="2" applyFont="1" applyFill="1" applyAlignment="1">
      <alignment horizontal="center"/>
    </xf>
    <xf numFmtId="9" fontId="9" fillId="0" borderId="0" xfId="2" applyFont="1" applyAlignment="1"/>
    <xf numFmtId="44" fontId="12" fillId="0" borderId="0" xfId="1" applyFont="1" applyAlignment="1"/>
    <xf numFmtId="44" fontId="7" fillId="10" borderId="1" xfId="1" applyFont="1" applyFill="1" applyBorder="1" applyAlignment="1">
      <alignment horizontal="center" wrapText="1"/>
    </xf>
    <xf numFmtId="44" fontId="3" fillId="0" borderId="1" xfId="0" applyNumberFormat="1" applyFont="1" applyBorder="1"/>
    <xf numFmtId="44" fontId="7" fillId="10" borderId="1" xfId="0" applyNumberFormat="1" applyFont="1" applyFill="1" applyBorder="1" applyAlignment="1">
      <alignment horizontal="center" wrapText="1"/>
    </xf>
    <xf numFmtId="44" fontId="0" fillId="0" borderId="1" xfId="0" applyNumberFormat="1" applyBorder="1"/>
    <xf numFmtId="44" fontId="12" fillId="0" borderId="0" xfId="0" applyNumberFormat="1" applyFont="1"/>
    <xf numFmtId="0" fontId="13" fillId="0" borderId="0" xfId="0" applyFont="1"/>
    <xf numFmtId="0" fontId="15" fillId="0" borderId="0" xfId="0" applyFont="1"/>
    <xf numFmtId="9" fontId="16" fillId="0" borderId="0" xfId="2" applyFont="1" applyFill="1"/>
    <xf numFmtId="0" fontId="16" fillId="0" borderId="0" xfId="0" applyFont="1"/>
    <xf numFmtId="9" fontId="15" fillId="0" borderId="0" xfId="2" applyFont="1"/>
    <xf numFmtId="44" fontId="3" fillId="0" borderId="0" xfId="1" applyFont="1"/>
    <xf numFmtId="44" fontId="3" fillId="0" borderId="0" xfId="1" applyFont="1" applyFill="1"/>
    <xf numFmtId="9" fontId="16" fillId="0" borderId="0" xfId="2" applyFont="1" applyFill="1" applyAlignment="1">
      <alignment horizontal="center"/>
    </xf>
    <xf numFmtId="0" fontId="16" fillId="0" borderId="0" xfId="0" applyFont="1" applyAlignment="1">
      <alignment horizontal="center"/>
    </xf>
    <xf numFmtId="9" fontId="13" fillId="0" borderId="0" xfId="2" applyFont="1" applyFill="1" applyAlignment="1">
      <alignment horizontal="center" wrapText="1"/>
    </xf>
    <xf numFmtId="44" fontId="13" fillId="0" borderId="0" xfId="1" applyFont="1" applyFill="1" applyAlignment="1">
      <alignment horizontal="center" wrapText="1"/>
    </xf>
    <xf numFmtId="9" fontId="13" fillId="0" borderId="0" xfId="2" applyFont="1" applyAlignment="1"/>
    <xf numFmtId="0" fontId="16" fillId="0" borderId="0" xfId="0" applyFont="1" applyAlignment="1">
      <alignment wrapText="1"/>
    </xf>
    <xf numFmtId="0" fontId="17" fillId="0" borderId="0" xfId="0" applyFont="1" applyAlignment="1">
      <alignment wrapText="1"/>
    </xf>
    <xf numFmtId="0" fontId="12" fillId="0" borderId="0" xfId="0" applyFont="1" applyAlignment="1">
      <alignment horizontal="center"/>
    </xf>
    <xf numFmtId="9" fontId="0" fillId="12" borderId="0" xfId="2" applyFont="1" applyFill="1" applyProtection="1">
      <protection locked="0"/>
    </xf>
    <xf numFmtId="9" fontId="3" fillId="12" borderId="1" xfId="2" applyFont="1" applyFill="1" applyBorder="1" applyProtection="1">
      <protection locked="0"/>
    </xf>
    <xf numFmtId="0" fontId="0" fillId="0" borderId="0" xfId="1" applyNumberFormat="1" applyFont="1" applyFill="1"/>
    <xf numFmtId="44" fontId="12" fillId="3" borderId="0" xfId="1" applyFont="1" applyFill="1"/>
    <xf numFmtId="44" fontId="12" fillId="0" borderId="0" xfId="1" applyFont="1" applyFill="1"/>
    <xf numFmtId="9" fontId="0" fillId="3" borderId="0" xfId="2" applyFont="1" applyFill="1" applyProtection="1">
      <protection locked="0"/>
    </xf>
    <xf numFmtId="0" fontId="18" fillId="0" borderId="0" xfId="0" applyFont="1"/>
    <xf numFmtId="0" fontId="18" fillId="0" borderId="0" xfId="0" applyFont="1" applyAlignment="1">
      <alignment horizontal="center"/>
    </xf>
    <xf numFmtId="0" fontId="19" fillId="13" borderId="0" xfId="0" applyFont="1" applyFill="1" applyAlignment="1">
      <alignment horizontal="center" wrapText="1"/>
    </xf>
    <xf numFmtId="44" fontId="18" fillId="0" borderId="4" xfId="0" applyNumberFormat="1" applyFont="1" applyBorder="1"/>
    <xf numFmtId="44" fontId="18" fillId="0" borderId="5" xfId="0" applyNumberFormat="1" applyFont="1" applyBorder="1"/>
    <xf numFmtId="44" fontId="18" fillId="0" borderId="6" xfId="0" applyNumberFormat="1" applyFont="1" applyBorder="1"/>
    <xf numFmtId="44" fontId="18" fillId="0" borderId="0" xfId="0" applyNumberFormat="1" applyFont="1"/>
    <xf numFmtId="44" fontId="18" fillId="0" borderId="7" xfId="0" applyNumberFormat="1" applyFont="1" applyBorder="1"/>
    <xf numFmtId="44" fontId="18" fillId="0" borderId="8" xfId="0" applyNumberFormat="1" applyFont="1" applyBorder="1"/>
    <xf numFmtId="44" fontId="18" fillId="0" borderId="9" xfId="0" applyNumberFormat="1" applyFont="1" applyBorder="1"/>
    <xf numFmtId="44" fontId="18" fillId="0" borderId="10" xfId="0" applyNumberFormat="1" applyFont="1" applyBorder="1"/>
    <xf numFmtId="44" fontId="18" fillId="0" borderId="11" xfId="0" applyNumberFormat="1" applyFont="1" applyBorder="1"/>
    <xf numFmtId="0" fontId="19" fillId="13" borderId="0" xfId="0" applyFont="1" applyFill="1" applyAlignment="1">
      <alignment horizontal="center"/>
    </xf>
    <xf numFmtId="0" fontId="22" fillId="2" borderId="0" xfId="0" applyFont="1" applyFill="1" applyAlignment="1">
      <alignment horizontal="center" wrapText="1"/>
    </xf>
    <xf numFmtId="0" fontId="22" fillId="6" borderId="0" xfId="0" applyFont="1" applyFill="1" applyAlignment="1">
      <alignment horizontal="center" wrapText="1"/>
    </xf>
    <xf numFmtId="0" fontId="22" fillId="4" borderId="0" xfId="0" applyFont="1" applyFill="1" applyAlignment="1">
      <alignment horizontal="center" wrapText="1"/>
    </xf>
    <xf numFmtId="0" fontId="22" fillId="8" borderId="0" xfId="0" applyFont="1" applyFill="1" applyAlignment="1">
      <alignment horizontal="center" wrapText="1"/>
    </xf>
    <xf numFmtId="0" fontId="22" fillId="9" borderId="0" xfId="0" applyFont="1" applyFill="1" applyAlignment="1">
      <alignment horizontal="center" wrapText="1"/>
    </xf>
    <xf numFmtId="0" fontId="2" fillId="0" borderId="0" xfId="0" applyFont="1"/>
    <xf numFmtId="0" fontId="12" fillId="3" borderId="0" xfId="0" applyFont="1" applyFill="1" applyAlignment="1">
      <alignment horizontal="center"/>
    </xf>
    <xf numFmtId="0" fontId="2" fillId="3" borderId="0" xfId="0" applyFont="1" applyFill="1"/>
    <xf numFmtId="0" fontId="21" fillId="0" borderId="0" xfId="0" applyFont="1" applyAlignment="1">
      <alignment horizontal="center"/>
    </xf>
    <xf numFmtId="6" fontId="20" fillId="0" borderId="0" xfId="0" applyNumberFormat="1" applyFont="1" applyAlignment="1">
      <alignment horizontal="center"/>
    </xf>
    <xf numFmtId="9" fontId="20" fillId="0" borderId="0" xfId="2" applyFont="1" applyFill="1" applyBorder="1" applyAlignment="1" applyProtection="1">
      <alignment horizontal="center"/>
    </xf>
    <xf numFmtId="44" fontId="20" fillId="0" borderId="0" xfId="0" applyNumberFormat="1" applyFont="1"/>
    <xf numFmtId="44" fontId="12" fillId="0" borderId="0" xfId="1" applyFont="1" applyFill="1" applyBorder="1" applyProtection="1"/>
    <xf numFmtId="0" fontId="21" fillId="0" borderId="0" xfId="0" applyFont="1"/>
    <xf numFmtId="44" fontId="0" fillId="0" borderId="0" xfId="0" applyNumberFormat="1" applyAlignment="1">
      <alignment horizontal="center" wrapText="1"/>
    </xf>
    <xf numFmtId="44" fontId="24" fillId="0" borderId="13" xfId="0" applyNumberFormat="1" applyFont="1" applyBorder="1"/>
    <xf numFmtId="44" fontId="19" fillId="0" borderId="3" xfId="0" applyNumberFormat="1" applyFont="1" applyBorder="1"/>
    <xf numFmtId="0" fontId="19" fillId="0" borderId="0" xfId="0" applyFont="1" applyAlignment="1">
      <alignment horizontal="center"/>
    </xf>
    <xf numFmtId="0" fontId="19" fillId="0" borderId="3" xfId="0" applyFont="1" applyBorder="1" applyAlignment="1">
      <alignment horizontal="center"/>
    </xf>
    <xf numFmtId="44" fontId="23" fillId="0" borderId="0" xfId="0" applyNumberFormat="1" applyFont="1"/>
    <xf numFmtId="44" fontId="25" fillId="0" borderId="12" xfId="0" applyNumberFormat="1" applyFont="1" applyBorder="1"/>
    <xf numFmtId="44" fontId="26" fillId="0" borderId="0" xfId="0" applyNumberFormat="1" applyFont="1"/>
    <xf numFmtId="0" fontId="27" fillId="3" borderId="0" xfId="1" applyNumberFormat="1" applyFont="1" applyFill="1"/>
    <xf numFmtId="0" fontId="27" fillId="3" borderId="0" xfId="2" applyNumberFormat="1" applyFont="1" applyFill="1"/>
    <xf numFmtId="44" fontId="19" fillId="0" borderId="0" xfId="0" applyNumberFormat="1" applyFont="1"/>
    <xf numFmtId="9" fontId="28" fillId="3" borderId="0" xfId="2" applyFont="1" applyFill="1" applyAlignment="1">
      <alignment horizontal="center"/>
    </xf>
    <xf numFmtId="44" fontId="29" fillId="0" borderId="0" xfId="0" applyNumberFormat="1" applyFont="1"/>
    <xf numFmtId="0" fontId="14" fillId="0" borderId="0" xfId="0" applyFont="1" applyAlignment="1">
      <alignment horizontal="center"/>
    </xf>
    <xf numFmtId="9" fontId="12" fillId="0" borderId="0" xfId="2" applyFont="1" applyFill="1" applyAlignment="1">
      <alignment horizontal="center"/>
    </xf>
    <xf numFmtId="44" fontId="0" fillId="0" borderId="0" xfId="0" applyNumberFormat="1" applyAlignment="1">
      <alignment horizontal="center" wrapText="1"/>
    </xf>
    <xf numFmtId="0" fontId="0" fillId="0" borderId="0" xfId="0" applyAlignment="1">
      <alignment horizontal="left" wrapText="1"/>
    </xf>
    <xf numFmtId="0" fontId="12" fillId="0" borderId="0" xfId="0" applyFont="1" applyAlignment="1">
      <alignment horizontal="center"/>
    </xf>
    <xf numFmtId="9" fontId="2" fillId="0" borderId="0" xfId="2" applyFont="1" applyFill="1" applyAlignment="1">
      <alignment horizontal="center"/>
    </xf>
    <xf numFmtId="0" fontId="12" fillId="0" borderId="2" xfId="0" applyFont="1" applyBorder="1" applyAlignment="1">
      <alignment horizontal="center"/>
    </xf>
    <xf numFmtId="0" fontId="16" fillId="0" borderId="0" xfId="0" applyFont="1" applyAlignment="1">
      <alignment horizontal="left" wrapText="1"/>
    </xf>
    <xf numFmtId="0" fontId="2" fillId="0" borderId="0" xfId="0" applyFont="1" applyAlignment="1">
      <alignment horizontal="center"/>
    </xf>
    <xf numFmtId="0" fontId="25" fillId="0" borderId="8" xfId="0" applyFont="1" applyBorder="1" applyAlignment="1">
      <alignment horizontal="center"/>
    </xf>
    <xf numFmtId="0" fontId="25" fillId="0" borderId="11" xfId="0" applyFont="1" applyBorder="1" applyAlignment="1">
      <alignment horizontal="center"/>
    </xf>
    <xf numFmtId="0" fontId="4" fillId="7" borderId="0" xfId="0" applyFont="1" applyFill="1" applyAlignment="1">
      <alignment horizontal="center" wrapText="1"/>
    </xf>
    <xf numFmtId="44" fontId="0" fillId="0" borderId="0" xfId="0" applyNumberFormat="1" applyAlignment="1">
      <alignment horizontal="center"/>
    </xf>
    <xf numFmtId="0" fontId="0" fillId="0" borderId="0" xfId="0" applyAlignment="1">
      <alignment horizontal="center"/>
    </xf>
    <xf numFmtId="0" fontId="11" fillId="0" borderId="0" xfId="0" applyFont="1" applyAlignment="1">
      <alignment horizontal="center"/>
    </xf>
    <xf numFmtId="44" fontId="4" fillId="5" borderId="0" xfId="0" applyNumberFormat="1" applyFont="1" applyFill="1" applyAlignment="1">
      <alignment horizontal="center"/>
    </xf>
    <xf numFmtId="0" fontId="6" fillId="0" borderId="0" xfId="0" applyFont="1" applyAlignment="1">
      <alignment horizontal="center"/>
    </xf>
    <xf numFmtId="0" fontId="12" fillId="12" borderId="0" xfId="0" applyFont="1" applyFill="1" applyAlignment="1">
      <alignment horizontal="right"/>
    </xf>
    <xf numFmtId="44" fontId="30" fillId="0" borderId="14" xfId="1" applyFont="1" applyBorder="1" applyAlignment="1">
      <alignment horizontal="center"/>
    </xf>
  </cellXfs>
  <cellStyles count="3">
    <cellStyle name="Currency" xfId="1" builtinId="4"/>
    <cellStyle name="Normal" xfId="0" builtinId="0"/>
    <cellStyle name="Percent" xfId="2" builtinId="5"/>
  </cellStyles>
  <dxfs count="3">
    <dxf>
      <font>
        <strike val="0"/>
      </font>
    </dxf>
    <dxf>
      <font>
        <strike val="0"/>
      </font>
    </dxf>
    <dxf>
      <font>
        <strike val="0"/>
      </font>
    </dxf>
  </dxfs>
  <tableStyles count="0" defaultTableStyle="TableStyleMedium2" defaultPivotStyle="PivotStyleLight16"/>
  <colors>
    <mruColors>
      <color rgb="FF984110"/>
      <color rgb="FF7D21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5-Yea</a:t>
            </a:r>
            <a:r>
              <a:rPr lang="en-US" baseline="0"/>
              <a:t>r Totals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spPr>
            <a:solidFill>
              <a:schemeClr val="accent2"/>
            </a:solidFill>
            <a:ln>
              <a:noFill/>
            </a:ln>
            <a:effectLst/>
          </c:spPr>
          <c:invertIfNegative val="0"/>
          <c:cat>
            <c:strRef>
              <c:f>'5-Year Projections Plus'!$N$34:$N$38</c:f>
              <c:strCache>
                <c:ptCount val="5"/>
                <c:pt idx="0">
                  <c:v>Information Technology</c:v>
                </c:pt>
                <c:pt idx="1">
                  <c:v>Admin, Clerical &amp; Office Support</c:v>
                </c:pt>
                <c:pt idx="2">
                  <c:v>Legal Support</c:v>
                </c:pt>
                <c:pt idx="3">
                  <c:v>Finance &amp; Accounting</c:v>
                </c:pt>
                <c:pt idx="4">
                  <c:v>General Laborers</c:v>
                </c:pt>
              </c:strCache>
            </c:strRef>
          </c:cat>
          <c:val>
            <c:numRef>
              <c:f>'5-Year Projections Plus'!$P$34:$P$38</c:f>
              <c:numCache>
                <c:formatCode>_("$"* #,##0.00_);_("$"* \(#,##0.00\);_("$"* "-"??_);_(@_)</c:formatCode>
                <c:ptCount val="5"/>
                <c:pt idx="0">
                  <c:v>2637657</c:v>
                </c:pt>
                <c:pt idx="1">
                  <c:v>829054</c:v>
                </c:pt>
                <c:pt idx="2">
                  <c:v>0</c:v>
                </c:pt>
                <c:pt idx="3">
                  <c:v>1156416</c:v>
                </c:pt>
                <c:pt idx="4">
                  <c:v>844747</c:v>
                </c:pt>
              </c:numCache>
            </c:numRef>
          </c:val>
          <c:extLst>
            <c:ext xmlns:c16="http://schemas.microsoft.com/office/drawing/2014/chart" uri="{C3380CC4-5D6E-409C-BE32-E72D297353CC}">
              <c16:uniqueId val="{00000000-5B2B-491C-AD56-3D15DB5ED33A}"/>
            </c:ext>
          </c:extLst>
        </c:ser>
        <c:dLbls>
          <c:showLegendKey val="0"/>
          <c:showVal val="0"/>
          <c:showCatName val="0"/>
          <c:showSerName val="0"/>
          <c:showPercent val="0"/>
          <c:showBubbleSize val="0"/>
        </c:dLbls>
        <c:gapWidth val="182"/>
        <c:axId val="355299712"/>
        <c:axId val="355300192"/>
        <c:extLst>
          <c:ext xmlns:c15="http://schemas.microsoft.com/office/drawing/2012/chart" uri="{02D57815-91ED-43cb-92C2-25804820EDAC}">
            <c15:filteredBarSeries>
              <c15:ser>
                <c:idx val="0"/>
                <c:order val="0"/>
                <c:spPr>
                  <a:solidFill>
                    <a:schemeClr val="accent1"/>
                  </a:solidFill>
                  <a:ln>
                    <a:noFill/>
                  </a:ln>
                  <a:effectLst/>
                </c:spPr>
                <c:invertIfNegative val="0"/>
                <c:cat>
                  <c:strRef>
                    <c:extLst>
                      <c:ext uri="{02D57815-91ED-43cb-92C2-25804820EDAC}">
                        <c15:formulaRef>
                          <c15:sqref>'5-Year Projections Plus'!$N$34:$N$38</c15:sqref>
                        </c15:formulaRef>
                      </c:ext>
                    </c:extLst>
                    <c:strCache>
                      <c:ptCount val="5"/>
                      <c:pt idx="0">
                        <c:v>Information Technology</c:v>
                      </c:pt>
                      <c:pt idx="1">
                        <c:v>Admin, Clerical &amp; Office Support</c:v>
                      </c:pt>
                      <c:pt idx="2">
                        <c:v>Legal Support</c:v>
                      </c:pt>
                      <c:pt idx="3">
                        <c:v>Finance &amp; Accounting</c:v>
                      </c:pt>
                      <c:pt idx="4">
                        <c:v>General Laborers</c:v>
                      </c:pt>
                    </c:strCache>
                  </c:strRef>
                </c:cat>
                <c:val>
                  <c:numRef>
                    <c:extLst>
                      <c:ext uri="{02D57815-91ED-43cb-92C2-25804820EDAC}">
                        <c15:formulaRef>
                          <c15:sqref>'5-Year Projections Plus'!$O$34:$O$38</c15:sqref>
                        </c15:formulaRef>
                      </c:ext>
                    </c:extLst>
                    <c:numCache>
                      <c:formatCode>General</c:formatCode>
                      <c:ptCount val="5"/>
                    </c:numCache>
                  </c:numRef>
                </c:val>
                <c:extLst>
                  <c:ext xmlns:c16="http://schemas.microsoft.com/office/drawing/2014/chart" uri="{C3380CC4-5D6E-409C-BE32-E72D297353CC}">
                    <c16:uniqueId val="{00000001-5B2B-491C-AD56-3D15DB5ED33A}"/>
                  </c:ext>
                </c:extLst>
              </c15:ser>
            </c15:filteredBarSeries>
          </c:ext>
        </c:extLst>
      </c:barChart>
      <c:catAx>
        <c:axId val="35529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300192"/>
        <c:crosses val="autoZero"/>
        <c:auto val="1"/>
        <c:lblAlgn val="ctr"/>
        <c:lblOffset val="100"/>
        <c:noMultiLvlLbl val="0"/>
      </c:catAx>
      <c:valAx>
        <c:axId val="3553001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997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123825</xdr:colOff>
      <xdr:row>39</xdr:row>
      <xdr:rowOff>66674</xdr:rowOff>
    </xdr:from>
    <xdr:to>
      <xdr:col>17</xdr:col>
      <xdr:colOff>47625</xdr:colOff>
      <xdr:row>53</xdr:row>
      <xdr:rowOff>138111</xdr:rowOff>
    </xdr:to>
    <xdr:graphicFrame macro="">
      <xdr:nvGraphicFramePr>
        <xdr:cNvPr id="2" name="Chart 1">
          <a:extLst>
            <a:ext uri="{FF2B5EF4-FFF2-40B4-BE49-F238E27FC236}">
              <a16:creationId xmlns:a16="http://schemas.microsoft.com/office/drawing/2014/main" id="{83054E8A-01FA-4780-8DD2-48CFF2926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70FD-29CB-4A0C-8634-127AA76987BE}">
  <dimension ref="A1:O145"/>
  <sheetViews>
    <sheetView tabSelected="1" zoomScaleNormal="100" workbookViewId="0">
      <selection activeCell="O23" sqref="O23"/>
    </sheetView>
  </sheetViews>
  <sheetFormatPr defaultRowHeight="15" x14ac:dyDescent="0.25"/>
  <cols>
    <col min="2" max="2" width="30.85546875" customWidth="1"/>
    <col min="3" max="3" width="40.5703125" bestFit="1" customWidth="1"/>
    <col min="4" max="4" width="11.85546875" style="4" customWidth="1"/>
    <col min="5" max="5" width="12.140625" style="5" customWidth="1"/>
    <col min="6" max="6" width="12.28515625" style="5" customWidth="1"/>
    <col min="7" max="7" width="11.140625" style="4" customWidth="1"/>
    <col min="8" max="8" width="10.7109375" style="18" customWidth="1"/>
    <col min="9" max="9" width="15.42578125" style="4" customWidth="1"/>
    <col min="11" max="11" width="9.5703125" customWidth="1"/>
    <col min="12" max="12" width="20.140625" customWidth="1"/>
    <col min="13" max="14" width="10.42578125" customWidth="1"/>
    <col min="15" max="15" width="12.5703125" bestFit="1" customWidth="1"/>
  </cols>
  <sheetData>
    <row r="1" spans="1:14" ht="15.75" x14ac:dyDescent="0.25">
      <c r="A1" s="143" t="s">
        <v>55</v>
      </c>
      <c r="B1" s="143"/>
      <c r="C1" s="143"/>
      <c r="D1" s="143"/>
      <c r="E1" s="143"/>
      <c r="F1" s="143"/>
      <c r="G1" s="143"/>
      <c r="H1" s="143"/>
      <c r="I1" s="143"/>
      <c r="K1" s="139" t="s">
        <v>73</v>
      </c>
      <c r="L1" s="139"/>
    </row>
    <row r="2" spans="1:14" ht="15.75" x14ac:dyDescent="0.25">
      <c r="A2" s="143" t="s">
        <v>56</v>
      </c>
      <c r="B2" s="143"/>
      <c r="C2" s="143"/>
      <c r="D2" s="143"/>
      <c r="E2" s="143"/>
      <c r="F2" s="143"/>
      <c r="G2" s="143"/>
      <c r="H2" s="143"/>
      <c r="I2" s="143"/>
      <c r="K2" s="139"/>
      <c r="L2" s="139"/>
    </row>
    <row r="3" spans="1:14" ht="30.75" customHeight="1" thickBot="1" x14ac:dyDescent="0.45">
      <c r="A3" s="143" t="s">
        <v>64</v>
      </c>
      <c r="B3" s="143"/>
      <c r="C3" s="156" t="s">
        <v>113</v>
      </c>
      <c r="D3" s="157"/>
      <c r="E3" s="157"/>
      <c r="F3" s="157"/>
      <c r="G3" s="157"/>
      <c r="H3" s="157"/>
    </row>
    <row r="4" spans="1:14" ht="51" customHeight="1" x14ac:dyDescent="0.3">
      <c r="A4" s="112" t="s">
        <v>92</v>
      </c>
      <c r="B4" s="6" t="s">
        <v>1</v>
      </c>
      <c r="C4" s="6" t="s">
        <v>29</v>
      </c>
      <c r="D4" s="7" t="s">
        <v>23</v>
      </c>
      <c r="E4" s="21" t="s">
        <v>26</v>
      </c>
      <c r="F4" s="21" t="s">
        <v>27</v>
      </c>
      <c r="G4" s="7" t="s">
        <v>28</v>
      </c>
      <c r="H4" s="17" t="s">
        <v>22</v>
      </c>
      <c r="I4" s="7" t="s">
        <v>25</v>
      </c>
      <c r="J4" s="1"/>
      <c r="L4" s="60" t="s">
        <v>49</v>
      </c>
    </row>
    <row r="5" spans="1:14" ht="15.75" x14ac:dyDescent="0.25">
      <c r="A5" s="92">
        <v>1</v>
      </c>
      <c r="B5" s="3" t="s">
        <v>0</v>
      </c>
      <c r="C5" s="2" t="s">
        <v>3</v>
      </c>
      <c r="D5" s="4">
        <v>121.86</v>
      </c>
      <c r="E5" s="93">
        <v>0</v>
      </c>
      <c r="F5" s="4">
        <f>D5*E5</f>
        <v>0</v>
      </c>
      <c r="G5" s="4">
        <f>D5+F5</f>
        <v>121.86</v>
      </c>
      <c r="H5" s="18">
        <v>1250</v>
      </c>
      <c r="I5" s="4">
        <f>G5*H5</f>
        <v>152325</v>
      </c>
      <c r="K5" s="14" t="s">
        <v>35</v>
      </c>
      <c r="L5" s="12">
        <f>I28</f>
        <v>1696242.6666666665</v>
      </c>
    </row>
    <row r="6" spans="1:14" ht="15.75" x14ac:dyDescent="0.25">
      <c r="A6" s="92"/>
      <c r="B6" s="3"/>
      <c r="C6" s="2" t="s">
        <v>16</v>
      </c>
      <c r="D6" s="4">
        <v>112</v>
      </c>
      <c r="E6" s="93">
        <v>0</v>
      </c>
      <c r="F6" s="4">
        <f t="shared" ref="F6:F18" si="0">D6*E6</f>
        <v>0</v>
      </c>
      <c r="G6" s="4">
        <f t="shared" ref="G6:G18" si="1">D6+F6</f>
        <v>112</v>
      </c>
      <c r="H6" s="18">
        <v>1250</v>
      </c>
      <c r="I6" s="4">
        <f t="shared" ref="I6:I7" si="2">G6*H6</f>
        <v>140000</v>
      </c>
      <c r="K6" s="14" t="s">
        <v>36</v>
      </c>
      <c r="L6" s="12">
        <f>I55</f>
        <v>1696242.6666666665</v>
      </c>
    </row>
    <row r="7" spans="1:14" ht="15.75" x14ac:dyDescent="0.25">
      <c r="A7" s="92"/>
      <c r="B7" s="3"/>
      <c r="C7" s="2" t="s">
        <v>18</v>
      </c>
      <c r="D7" s="4">
        <v>73.94</v>
      </c>
      <c r="E7" s="93">
        <v>0</v>
      </c>
      <c r="F7" s="4">
        <f t="shared" si="0"/>
        <v>0</v>
      </c>
      <c r="G7" s="4">
        <f t="shared" si="1"/>
        <v>73.94</v>
      </c>
      <c r="H7" s="18">
        <v>1250</v>
      </c>
      <c r="I7" s="4">
        <f t="shared" si="2"/>
        <v>92425</v>
      </c>
      <c r="K7" s="14" t="s">
        <v>37</v>
      </c>
      <c r="L7" s="12">
        <f>I82</f>
        <v>1527284.6666666665</v>
      </c>
    </row>
    <row r="8" spans="1:14" ht="15.75" x14ac:dyDescent="0.25">
      <c r="A8" s="92"/>
      <c r="B8" s="3"/>
      <c r="C8" s="2" t="s">
        <v>2</v>
      </c>
      <c r="D8" s="4">
        <v>60</v>
      </c>
      <c r="E8" s="93">
        <v>0</v>
      </c>
      <c r="F8" s="4">
        <f>D8*E8</f>
        <v>0</v>
      </c>
      <c r="G8" s="4">
        <f>D8+F8</f>
        <v>60</v>
      </c>
      <c r="H8" s="18">
        <v>1250</v>
      </c>
      <c r="I8" s="4">
        <f>G8*H8</f>
        <v>75000</v>
      </c>
      <c r="K8" s="14" t="s">
        <v>38</v>
      </c>
      <c r="L8" s="12">
        <f>I109</f>
        <v>1449455.4</v>
      </c>
    </row>
    <row r="9" spans="1:14" ht="15.75" x14ac:dyDescent="0.25">
      <c r="A9" s="118"/>
      <c r="B9" s="8"/>
      <c r="C9" s="9"/>
      <c r="D9" s="10"/>
      <c r="E9" s="93"/>
      <c r="F9" s="137" t="s">
        <v>104</v>
      </c>
      <c r="G9" s="96">
        <f>AVERAGE(G5:G8)</f>
        <v>91.95</v>
      </c>
      <c r="H9" s="134">
        <f>SUM(H5:H8)</f>
        <v>5000</v>
      </c>
      <c r="I9" s="96">
        <f>G9*H9</f>
        <v>459750</v>
      </c>
      <c r="K9" s="14" t="s">
        <v>39</v>
      </c>
      <c r="L9" s="12">
        <f>I136</f>
        <v>1375235.0666666667</v>
      </c>
    </row>
    <row r="10" spans="1:14" ht="15.75" x14ac:dyDescent="0.25">
      <c r="A10" s="92">
        <v>2</v>
      </c>
      <c r="B10" s="3" t="s">
        <v>4</v>
      </c>
      <c r="C10" s="2" t="s">
        <v>8</v>
      </c>
      <c r="D10" s="4">
        <v>55</v>
      </c>
      <c r="E10" s="93">
        <v>0</v>
      </c>
      <c r="F10" s="4">
        <f t="shared" si="0"/>
        <v>0</v>
      </c>
      <c r="G10" s="4">
        <f t="shared" si="1"/>
        <v>55</v>
      </c>
      <c r="H10" s="18">
        <v>833</v>
      </c>
      <c r="I10" s="4">
        <f>G10*H10</f>
        <v>45815</v>
      </c>
      <c r="L10" s="13"/>
    </row>
    <row r="11" spans="1:14" ht="15.75" x14ac:dyDescent="0.25">
      <c r="A11" s="92"/>
      <c r="B11" s="3"/>
      <c r="C11" s="2" t="s">
        <v>10</v>
      </c>
      <c r="D11" s="4">
        <v>35</v>
      </c>
      <c r="E11" s="93">
        <v>0</v>
      </c>
      <c r="F11" s="4">
        <f t="shared" si="0"/>
        <v>0</v>
      </c>
      <c r="G11" s="4">
        <f t="shared" si="1"/>
        <v>35</v>
      </c>
      <c r="H11" s="18">
        <v>833</v>
      </c>
      <c r="I11" s="4">
        <f t="shared" ref="I11:I14" si="3">G11*H11</f>
        <v>29155</v>
      </c>
      <c r="L11" s="12">
        <f>SUM(L5:L10)</f>
        <v>7744460.4666666668</v>
      </c>
    </row>
    <row r="12" spans="1:14" ht="15.75" x14ac:dyDescent="0.25">
      <c r="A12" s="92"/>
      <c r="B12" s="3"/>
      <c r="C12" s="2" t="s">
        <v>72</v>
      </c>
      <c r="D12" s="4">
        <v>55</v>
      </c>
      <c r="E12" s="93">
        <v>0</v>
      </c>
      <c r="F12" s="4">
        <f t="shared" si="0"/>
        <v>0</v>
      </c>
      <c r="G12" s="4">
        <f t="shared" si="1"/>
        <v>55</v>
      </c>
      <c r="H12" s="18">
        <v>833</v>
      </c>
      <c r="I12" s="4">
        <f t="shared" si="3"/>
        <v>45815</v>
      </c>
    </row>
    <row r="13" spans="1:14" ht="15.75" x14ac:dyDescent="0.25">
      <c r="A13" s="92"/>
      <c r="B13" s="3"/>
      <c r="C13" s="2" t="s">
        <v>12</v>
      </c>
      <c r="D13" s="4">
        <v>25</v>
      </c>
      <c r="E13" s="93">
        <v>0</v>
      </c>
      <c r="F13" s="4">
        <f t="shared" si="0"/>
        <v>0</v>
      </c>
      <c r="G13" s="4">
        <f t="shared" si="1"/>
        <v>25</v>
      </c>
      <c r="H13" s="18">
        <v>833</v>
      </c>
      <c r="I13" s="4">
        <f t="shared" si="3"/>
        <v>20825</v>
      </c>
    </row>
    <row r="14" spans="1:14" ht="15" customHeight="1" x14ac:dyDescent="0.25">
      <c r="A14" s="92"/>
      <c r="B14" s="3"/>
      <c r="C14" s="2" t="s">
        <v>14</v>
      </c>
      <c r="D14" s="4">
        <v>30</v>
      </c>
      <c r="E14" s="93">
        <v>0</v>
      </c>
      <c r="F14" s="4">
        <f t="shared" si="0"/>
        <v>0</v>
      </c>
      <c r="G14" s="4">
        <f t="shared" si="1"/>
        <v>30</v>
      </c>
      <c r="H14" s="18">
        <v>833</v>
      </c>
      <c r="I14" s="4">
        <f t="shared" si="3"/>
        <v>24990</v>
      </c>
      <c r="L14" s="141" t="s">
        <v>65</v>
      </c>
      <c r="M14" s="141"/>
      <c r="N14" s="126"/>
    </row>
    <row r="15" spans="1:14" ht="15.75" x14ac:dyDescent="0.25">
      <c r="A15" s="92"/>
      <c r="B15" s="3"/>
      <c r="C15" s="2" t="s">
        <v>17</v>
      </c>
      <c r="D15" s="4">
        <v>18</v>
      </c>
      <c r="E15" s="93">
        <v>0</v>
      </c>
      <c r="F15" s="4">
        <f t="shared" si="0"/>
        <v>0</v>
      </c>
      <c r="G15" s="4">
        <f t="shared" si="1"/>
        <v>18</v>
      </c>
      <c r="H15" s="18">
        <v>833</v>
      </c>
      <c r="I15" s="4">
        <f t="shared" ref="I15:I21" si="4">G15*H15</f>
        <v>14994</v>
      </c>
      <c r="L15" s="141"/>
      <c r="M15" s="141"/>
      <c r="N15" s="126"/>
    </row>
    <row r="16" spans="1:14" ht="15.75" x14ac:dyDescent="0.25">
      <c r="A16" s="118"/>
      <c r="B16" s="8"/>
      <c r="C16" s="9"/>
      <c r="D16" s="10"/>
      <c r="E16" s="93"/>
      <c r="F16" s="137" t="s">
        <v>104</v>
      </c>
      <c r="G16" s="96">
        <f>AVERAGE(G10:G15)</f>
        <v>36.333333333333336</v>
      </c>
      <c r="H16" s="134">
        <f>SUM(H10:H15)</f>
        <v>4998</v>
      </c>
      <c r="I16" s="96">
        <f>G16*H16</f>
        <v>181594</v>
      </c>
      <c r="L16" s="12"/>
    </row>
    <row r="17" spans="1:15" ht="15.75" x14ac:dyDescent="0.25">
      <c r="A17" s="92">
        <v>3</v>
      </c>
      <c r="B17" s="3" t="s">
        <v>102</v>
      </c>
      <c r="C17" s="2" t="s">
        <v>103</v>
      </c>
      <c r="D17" s="4">
        <v>60</v>
      </c>
      <c r="E17" s="93">
        <v>0</v>
      </c>
      <c r="F17" s="4">
        <f t="shared" si="0"/>
        <v>0</v>
      </c>
      <c r="G17" s="4">
        <f>D17+F17</f>
        <v>60</v>
      </c>
      <c r="H17" s="18">
        <v>2000</v>
      </c>
      <c r="I17" s="4">
        <f>G17*H17</f>
        <v>120000</v>
      </c>
    </row>
    <row r="18" spans="1:15" ht="15.75" x14ac:dyDescent="0.25">
      <c r="A18" s="92"/>
      <c r="B18" s="3"/>
      <c r="C18" s="2" t="s">
        <v>107</v>
      </c>
      <c r="D18" s="4">
        <v>100</v>
      </c>
      <c r="E18" s="93">
        <v>0</v>
      </c>
      <c r="F18" s="4">
        <f t="shared" si="0"/>
        <v>0</v>
      </c>
      <c r="G18" s="4">
        <f t="shared" si="1"/>
        <v>100</v>
      </c>
      <c r="H18" s="18">
        <v>2000</v>
      </c>
      <c r="I18" s="4">
        <f t="shared" si="4"/>
        <v>200000</v>
      </c>
      <c r="L18" s="12"/>
    </row>
    <row r="19" spans="1:15" ht="15.75" x14ac:dyDescent="0.25">
      <c r="A19" s="92"/>
      <c r="B19" s="3"/>
      <c r="C19" s="2" t="s">
        <v>19</v>
      </c>
      <c r="D19" s="4">
        <v>210</v>
      </c>
      <c r="E19" s="93">
        <v>0</v>
      </c>
      <c r="F19" s="4">
        <f>D19*E19</f>
        <v>0</v>
      </c>
      <c r="G19" s="4">
        <f>D19+F19</f>
        <v>210</v>
      </c>
      <c r="H19" s="18">
        <v>1000</v>
      </c>
      <c r="I19" s="4">
        <f t="shared" si="4"/>
        <v>210000</v>
      </c>
      <c r="L19" s="12"/>
      <c r="M19" s="24"/>
      <c r="N19" s="24"/>
    </row>
    <row r="20" spans="1:15" ht="15.75" x14ac:dyDescent="0.25">
      <c r="A20" s="118"/>
      <c r="B20" s="8"/>
      <c r="C20" s="9"/>
      <c r="D20" s="10"/>
      <c r="E20" s="93"/>
      <c r="F20" s="137" t="s">
        <v>104</v>
      </c>
      <c r="G20" s="96">
        <f>AVERAGE(G17:G19)</f>
        <v>123.33333333333333</v>
      </c>
      <c r="H20" s="135">
        <f>SUM(H17:H19)</f>
        <v>5000</v>
      </c>
      <c r="I20" s="96">
        <f>G20*H20</f>
        <v>616666.66666666663</v>
      </c>
      <c r="K20" s="133"/>
      <c r="L20" s="12"/>
      <c r="M20" s="24"/>
      <c r="N20" s="24"/>
      <c r="O20" s="12"/>
    </row>
    <row r="21" spans="1:15" ht="15.75" x14ac:dyDescent="0.25">
      <c r="A21" s="92">
        <v>4</v>
      </c>
      <c r="B21" s="3" t="s">
        <v>6</v>
      </c>
      <c r="C21" s="2" t="s">
        <v>9</v>
      </c>
      <c r="D21" s="4">
        <v>32</v>
      </c>
      <c r="E21" s="93">
        <v>0</v>
      </c>
      <c r="F21" s="4">
        <f t="shared" ref="F21:F23" si="5">D21*E21</f>
        <v>0</v>
      </c>
      <c r="G21" s="4">
        <f t="shared" ref="G21:G23" si="6">D21+F21</f>
        <v>32</v>
      </c>
      <c r="H21" s="18">
        <v>1666</v>
      </c>
      <c r="I21" s="4">
        <f t="shared" si="4"/>
        <v>53312</v>
      </c>
      <c r="L21" s="12"/>
      <c r="M21" s="24"/>
      <c r="N21" s="24"/>
      <c r="O21" s="12"/>
    </row>
    <row r="22" spans="1:15" ht="15.75" x14ac:dyDescent="0.25">
      <c r="A22" s="92"/>
      <c r="B22" s="3"/>
      <c r="C22" s="2" t="s">
        <v>15</v>
      </c>
      <c r="D22" s="4">
        <v>65</v>
      </c>
      <c r="E22" s="93">
        <v>0</v>
      </c>
      <c r="F22" s="4">
        <f t="shared" si="5"/>
        <v>0</v>
      </c>
      <c r="G22" s="4">
        <f t="shared" si="6"/>
        <v>65</v>
      </c>
      <c r="H22" s="18">
        <v>1666</v>
      </c>
      <c r="I22" s="4">
        <f t="shared" ref="I22:I23" si="7">G22*H22</f>
        <v>108290</v>
      </c>
      <c r="L22" s="12"/>
      <c r="O22" s="12"/>
    </row>
    <row r="23" spans="1:15" ht="15.75" x14ac:dyDescent="0.25">
      <c r="A23" s="92"/>
      <c r="B23" s="3"/>
      <c r="C23" s="2" t="s">
        <v>20</v>
      </c>
      <c r="D23" s="4">
        <v>55</v>
      </c>
      <c r="E23" s="93">
        <v>0</v>
      </c>
      <c r="F23" s="4">
        <f t="shared" si="5"/>
        <v>0</v>
      </c>
      <c r="G23" s="4">
        <f t="shared" si="6"/>
        <v>55</v>
      </c>
      <c r="H23" s="18">
        <v>1666</v>
      </c>
      <c r="I23" s="4">
        <f t="shared" si="7"/>
        <v>91630</v>
      </c>
      <c r="L23" s="12"/>
      <c r="O23" s="12"/>
    </row>
    <row r="24" spans="1:15" ht="15.75" x14ac:dyDescent="0.25">
      <c r="A24" s="118"/>
      <c r="B24" s="8"/>
      <c r="C24" s="9"/>
      <c r="D24" s="10"/>
      <c r="E24" s="93"/>
      <c r="F24" s="137" t="s">
        <v>104</v>
      </c>
      <c r="G24" s="96">
        <f>AVERAGE(G21:G23)</f>
        <v>50.666666666666664</v>
      </c>
      <c r="H24" s="134">
        <f>SUM(H21:H23)</f>
        <v>4998</v>
      </c>
      <c r="I24" s="96">
        <f>G24*H24</f>
        <v>253232</v>
      </c>
      <c r="L24" s="138"/>
      <c r="O24" s="12"/>
    </row>
    <row r="25" spans="1:15" ht="15.75" x14ac:dyDescent="0.25">
      <c r="A25" s="92">
        <v>5</v>
      </c>
      <c r="B25" s="3" t="s">
        <v>7</v>
      </c>
      <c r="C25" s="2" t="s">
        <v>13</v>
      </c>
      <c r="D25" s="4">
        <v>37</v>
      </c>
      <c r="E25" s="93">
        <v>0</v>
      </c>
      <c r="F25" s="4">
        <f t="shared" ref="F25" si="8">D25*E25</f>
        <v>0</v>
      </c>
      <c r="G25" s="4">
        <f t="shared" ref="G25" si="9">D25+F25</f>
        <v>37</v>
      </c>
      <c r="H25" s="18">
        <v>5000</v>
      </c>
      <c r="I25" s="4">
        <f>G25*H25</f>
        <v>185000</v>
      </c>
      <c r="L25" s="12"/>
    </row>
    <row r="26" spans="1:15" x14ac:dyDescent="0.25">
      <c r="A26" s="117"/>
      <c r="E26" s="93"/>
      <c r="L26" s="12"/>
    </row>
    <row r="27" spans="1:15" ht="15.75" x14ac:dyDescent="0.25">
      <c r="A27" s="13"/>
      <c r="B27" s="13"/>
      <c r="C27" s="13"/>
      <c r="D27" s="10"/>
      <c r="E27" s="11"/>
      <c r="F27" s="137" t="s">
        <v>104</v>
      </c>
      <c r="G27" s="96">
        <f>AVERAGE(G25:G26)</f>
        <v>37</v>
      </c>
      <c r="H27" s="134">
        <f>SUM(H25:H26)</f>
        <v>5000</v>
      </c>
      <c r="I27" s="96">
        <f>G27*H27</f>
        <v>185000</v>
      </c>
    </row>
    <row r="28" spans="1:15" ht="15.75" x14ac:dyDescent="0.25">
      <c r="D28" s="23"/>
      <c r="E28" s="140" t="s">
        <v>44</v>
      </c>
      <c r="F28" s="140"/>
      <c r="G28" s="140"/>
      <c r="H28" s="95">
        <f>H9+H16+H20+H24+H27</f>
        <v>24996</v>
      </c>
      <c r="I28" s="97">
        <f>I9+I16+I20+I24+I27</f>
        <v>1696242.6666666665</v>
      </c>
    </row>
    <row r="31" spans="1:15" ht="63.75" x14ac:dyDescent="0.3">
      <c r="A31" s="113" t="s">
        <v>93</v>
      </c>
      <c r="B31" s="34" t="s">
        <v>1</v>
      </c>
      <c r="C31" s="34" t="s">
        <v>29</v>
      </c>
      <c r="D31" s="35" t="s">
        <v>23</v>
      </c>
      <c r="E31" s="36" t="s">
        <v>26</v>
      </c>
      <c r="F31" s="36" t="s">
        <v>27</v>
      </c>
      <c r="G31" s="35" t="s">
        <v>28</v>
      </c>
      <c r="H31" s="37" t="s">
        <v>22</v>
      </c>
      <c r="I31" s="35" t="s">
        <v>25</v>
      </c>
    </row>
    <row r="32" spans="1:15" ht="51.75" customHeight="1" x14ac:dyDescent="0.25">
      <c r="A32" s="92">
        <v>1</v>
      </c>
      <c r="B32" s="3" t="s">
        <v>0</v>
      </c>
      <c r="C32" s="2" t="s">
        <v>3</v>
      </c>
      <c r="D32" s="4">
        <v>121.86</v>
      </c>
      <c r="E32" s="93">
        <v>0</v>
      </c>
      <c r="F32" s="4">
        <f>D32*E32</f>
        <v>0</v>
      </c>
      <c r="G32" s="4">
        <f>D32+F32</f>
        <v>121.86</v>
      </c>
      <c r="H32" s="18">
        <v>1250</v>
      </c>
      <c r="I32" s="4">
        <f>G32*H32</f>
        <v>152325</v>
      </c>
    </row>
    <row r="33" spans="1:12" ht="15.75" x14ac:dyDescent="0.25">
      <c r="A33" s="92"/>
      <c r="B33" s="3"/>
      <c r="C33" s="2" t="s">
        <v>16</v>
      </c>
      <c r="D33" s="4">
        <v>112</v>
      </c>
      <c r="E33" s="93">
        <v>0</v>
      </c>
      <c r="F33" s="4">
        <f t="shared" ref="F33:F35" si="10">D33*E33</f>
        <v>0</v>
      </c>
      <c r="G33" s="4">
        <f t="shared" ref="G33:G35" si="11">D33+F33</f>
        <v>112</v>
      </c>
      <c r="H33" s="18">
        <v>1250</v>
      </c>
      <c r="I33" s="4">
        <f t="shared" ref="I33:I35" si="12">G33*H33</f>
        <v>140000</v>
      </c>
    </row>
    <row r="34" spans="1:12" ht="15.75" x14ac:dyDescent="0.25">
      <c r="A34" s="92"/>
      <c r="B34" s="3"/>
      <c r="C34" s="2" t="s">
        <v>18</v>
      </c>
      <c r="D34" s="4">
        <v>73.94</v>
      </c>
      <c r="E34" s="93">
        <v>0</v>
      </c>
      <c r="F34" s="4">
        <f t="shared" si="10"/>
        <v>0</v>
      </c>
      <c r="G34" s="4">
        <f t="shared" si="11"/>
        <v>73.94</v>
      </c>
      <c r="H34" s="18">
        <v>1250</v>
      </c>
      <c r="I34" s="4">
        <f t="shared" si="12"/>
        <v>92425</v>
      </c>
      <c r="L34" s="12"/>
    </row>
    <row r="35" spans="1:12" ht="15.75" x14ac:dyDescent="0.25">
      <c r="A35" s="92"/>
      <c r="B35" s="3"/>
      <c r="C35" s="2" t="s">
        <v>2</v>
      </c>
      <c r="D35" s="4">
        <v>60</v>
      </c>
      <c r="E35" s="93">
        <v>0</v>
      </c>
      <c r="F35" s="4">
        <f t="shared" si="10"/>
        <v>0</v>
      </c>
      <c r="G35" s="4">
        <f t="shared" si="11"/>
        <v>60</v>
      </c>
      <c r="H35" s="18">
        <v>1250</v>
      </c>
      <c r="I35" s="4">
        <f t="shared" si="12"/>
        <v>75000</v>
      </c>
      <c r="J35" s="1"/>
      <c r="K35" s="1"/>
      <c r="L35" s="12"/>
    </row>
    <row r="36" spans="1:12" ht="15.75" x14ac:dyDescent="0.25">
      <c r="A36" s="118"/>
      <c r="B36" s="8"/>
      <c r="C36" s="9"/>
      <c r="D36" s="10"/>
      <c r="E36" s="93"/>
      <c r="F36" s="137" t="s">
        <v>104</v>
      </c>
      <c r="G36" s="96">
        <f>AVERAGE(G32:G35)</f>
        <v>91.95</v>
      </c>
      <c r="H36" s="134">
        <f>SUM(H32:H35)</f>
        <v>5000</v>
      </c>
      <c r="I36" s="96">
        <f>G36*H36</f>
        <v>459750</v>
      </c>
    </row>
    <row r="37" spans="1:12" ht="15.75" x14ac:dyDescent="0.25">
      <c r="A37" s="92">
        <v>2</v>
      </c>
      <c r="B37" s="3" t="s">
        <v>4</v>
      </c>
      <c r="C37" s="2" t="s">
        <v>8</v>
      </c>
      <c r="D37" s="4">
        <v>55</v>
      </c>
      <c r="E37" s="93">
        <v>0</v>
      </c>
      <c r="F37" s="4">
        <f t="shared" ref="F37:F42" si="13">D37*E37</f>
        <v>0</v>
      </c>
      <c r="G37" s="4">
        <f t="shared" ref="G37:G42" si="14">D37+F37</f>
        <v>55</v>
      </c>
      <c r="H37" s="18">
        <v>833</v>
      </c>
      <c r="I37" s="4">
        <f>G37*H37</f>
        <v>45815</v>
      </c>
    </row>
    <row r="38" spans="1:12" ht="15.75" x14ac:dyDescent="0.25">
      <c r="A38" s="92"/>
      <c r="B38" s="3"/>
      <c r="C38" s="2" t="s">
        <v>10</v>
      </c>
      <c r="D38" s="4">
        <v>35</v>
      </c>
      <c r="E38" s="93">
        <v>0</v>
      </c>
      <c r="F38" s="4">
        <f t="shared" si="13"/>
        <v>0</v>
      </c>
      <c r="G38" s="4">
        <f t="shared" si="14"/>
        <v>35</v>
      </c>
      <c r="H38" s="18">
        <v>833</v>
      </c>
      <c r="I38" s="4">
        <f t="shared" ref="I38:I41" si="15">G38*H38</f>
        <v>29155</v>
      </c>
    </row>
    <row r="39" spans="1:12" ht="15.75" x14ac:dyDescent="0.25">
      <c r="A39" s="92"/>
      <c r="B39" s="3"/>
      <c r="C39" s="2" t="s">
        <v>72</v>
      </c>
      <c r="D39" s="4">
        <v>55</v>
      </c>
      <c r="E39" s="93">
        <v>0</v>
      </c>
      <c r="F39" s="4">
        <f t="shared" si="13"/>
        <v>0</v>
      </c>
      <c r="G39" s="4">
        <f t="shared" si="14"/>
        <v>55</v>
      </c>
      <c r="H39" s="18">
        <v>833</v>
      </c>
      <c r="I39" s="4">
        <f t="shared" si="15"/>
        <v>45815</v>
      </c>
    </row>
    <row r="40" spans="1:12" ht="15.75" x14ac:dyDescent="0.25">
      <c r="A40" s="92"/>
      <c r="B40" s="3"/>
      <c r="C40" s="2" t="s">
        <v>12</v>
      </c>
      <c r="D40" s="4">
        <v>25</v>
      </c>
      <c r="E40" s="93">
        <v>0</v>
      </c>
      <c r="F40" s="4">
        <f t="shared" si="13"/>
        <v>0</v>
      </c>
      <c r="G40" s="4">
        <f t="shared" si="14"/>
        <v>25</v>
      </c>
      <c r="H40" s="18">
        <v>833</v>
      </c>
      <c r="I40" s="4">
        <f t="shared" si="15"/>
        <v>20825</v>
      </c>
    </row>
    <row r="41" spans="1:12" ht="15.75" x14ac:dyDescent="0.25">
      <c r="A41" s="92"/>
      <c r="B41" s="3"/>
      <c r="C41" s="2" t="s">
        <v>14</v>
      </c>
      <c r="D41" s="4">
        <v>30</v>
      </c>
      <c r="E41" s="93">
        <v>0</v>
      </c>
      <c r="F41" s="4">
        <f t="shared" si="13"/>
        <v>0</v>
      </c>
      <c r="G41" s="4">
        <f t="shared" si="14"/>
        <v>30</v>
      </c>
      <c r="H41" s="18">
        <v>833</v>
      </c>
      <c r="I41" s="4">
        <f t="shared" si="15"/>
        <v>24990</v>
      </c>
    </row>
    <row r="42" spans="1:12" ht="15.75" x14ac:dyDescent="0.25">
      <c r="A42" s="92"/>
      <c r="B42" s="3"/>
      <c r="C42" s="2" t="s">
        <v>17</v>
      </c>
      <c r="D42" s="4">
        <v>18</v>
      </c>
      <c r="E42" s="93">
        <v>0</v>
      </c>
      <c r="F42" s="4">
        <f t="shared" si="13"/>
        <v>0</v>
      </c>
      <c r="G42" s="4">
        <f t="shared" si="14"/>
        <v>18</v>
      </c>
      <c r="H42" s="18">
        <v>833</v>
      </c>
      <c r="I42" s="4">
        <f t="shared" ref="I42:I48" si="16">G42*H42</f>
        <v>14994</v>
      </c>
    </row>
    <row r="43" spans="1:12" ht="15.75" x14ac:dyDescent="0.25">
      <c r="A43" s="118"/>
      <c r="B43" s="8"/>
      <c r="C43" s="9"/>
      <c r="D43" s="10"/>
      <c r="E43" s="93"/>
      <c r="F43" s="137" t="s">
        <v>104</v>
      </c>
      <c r="G43" s="96">
        <f>AVERAGE(G37:G42)</f>
        <v>36.333333333333336</v>
      </c>
      <c r="H43" s="134">
        <f>SUM(H37:H42)</f>
        <v>4998</v>
      </c>
      <c r="I43" s="96">
        <f t="shared" si="16"/>
        <v>181594</v>
      </c>
    </row>
    <row r="44" spans="1:12" ht="15.75" x14ac:dyDescent="0.25">
      <c r="A44" s="92">
        <v>3</v>
      </c>
      <c r="B44" s="3" t="s">
        <v>102</v>
      </c>
      <c r="C44" s="2" t="s">
        <v>103</v>
      </c>
      <c r="D44" s="4">
        <v>60</v>
      </c>
      <c r="E44" s="93">
        <v>0</v>
      </c>
      <c r="F44" s="4">
        <f t="shared" ref="F44:F45" si="17">D44*E44</f>
        <v>0</v>
      </c>
      <c r="G44" s="4">
        <f t="shared" ref="G44:G45" si="18">D44+F44</f>
        <v>60</v>
      </c>
      <c r="H44" s="18">
        <v>2000</v>
      </c>
      <c r="I44" s="4">
        <f t="shared" si="16"/>
        <v>120000</v>
      </c>
    </row>
    <row r="45" spans="1:12" ht="15.75" x14ac:dyDescent="0.25">
      <c r="A45" s="92"/>
      <c r="B45" s="3"/>
      <c r="C45" s="2" t="s">
        <v>107</v>
      </c>
      <c r="D45" s="4">
        <v>100</v>
      </c>
      <c r="E45" s="93">
        <v>0</v>
      </c>
      <c r="F45" s="4">
        <f t="shared" si="17"/>
        <v>0</v>
      </c>
      <c r="G45" s="4">
        <f t="shared" si="18"/>
        <v>100</v>
      </c>
      <c r="H45" s="18">
        <v>2000</v>
      </c>
      <c r="I45" s="4">
        <f t="shared" si="16"/>
        <v>200000</v>
      </c>
    </row>
    <row r="46" spans="1:12" ht="15.75" x14ac:dyDescent="0.25">
      <c r="A46" s="92"/>
      <c r="B46" s="3"/>
      <c r="C46" s="2" t="s">
        <v>19</v>
      </c>
      <c r="D46" s="4">
        <v>210</v>
      </c>
      <c r="E46" s="93">
        <v>0</v>
      </c>
      <c r="F46" s="4">
        <f>D46*E46</f>
        <v>0</v>
      </c>
      <c r="G46" s="4">
        <f>D46+F46</f>
        <v>210</v>
      </c>
      <c r="H46" s="18">
        <v>1000</v>
      </c>
      <c r="I46" s="4">
        <f t="shared" si="16"/>
        <v>210000</v>
      </c>
    </row>
    <row r="47" spans="1:12" ht="15.75" x14ac:dyDescent="0.25">
      <c r="A47" s="118"/>
      <c r="B47" s="8"/>
      <c r="C47" s="9"/>
      <c r="D47" s="10"/>
      <c r="E47" s="93"/>
      <c r="F47" s="137" t="s">
        <v>104</v>
      </c>
      <c r="G47" s="96">
        <f>AVERAGE(G44:G46)</f>
        <v>123.33333333333333</v>
      </c>
      <c r="H47" s="135">
        <f>SUM(H44:H46)</f>
        <v>5000</v>
      </c>
      <c r="I47" s="96">
        <f t="shared" si="16"/>
        <v>616666.66666666663</v>
      </c>
    </row>
    <row r="48" spans="1:12" ht="15.75" x14ac:dyDescent="0.25">
      <c r="A48" s="92">
        <v>4</v>
      </c>
      <c r="B48" s="3" t="s">
        <v>6</v>
      </c>
      <c r="C48" s="2" t="s">
        <v>9</v>
      </c>
      <c r="D48" s="4">
        <v>32</v>
      </c>
      <c r="E48" s="93">
        <v>0</v>
      </c>
      <c r="F48" s="4">
        <f t="shared" ref="F48:F50" si="19">D48*E48</f>
        <v>0</v>
      </c>
      <c r="G48" s="4">
        <f t="shared" ref="G48:G50" si="20">D48+F48</f>
        <v>32</v>
      </c>
      <c r="H48" s="18">
        <v>1666</v>
      </c>
      <c r="I48" s="4">
        <f t="shared" si="16"/>
        <v>53312</v>
      </c>
    </row>
    <row r="49" spans="1:9" ht="15.75" x14ac:dyDescent="0.25">
      <c r="A49" s="92"/>
      <c r="B49" s="3"/>
      <c r="C49" s="2" t="s">
        <v>15</v>
      </c>
      <c r="D49" s="4">
        <v>65</v>
      </c>
      <c r="E49" s="93">
        <v>0</v>
      </c>
      <c r="F49" s="4">
        <f t="shared" si="19"/>
        <v>0</v>
      </c>
      <c r="G49" s="4">
        <f t="shared" si="20"/>
        <v>65</v>
      </c>
      <c r="H49" s="18">
        <v>1666</v>
      </c>
      <c r="I49" s="4">
        <f t="shared" ref="I49:I50" si="21">G49*H49</f>
        <v>108290</v>
      </c>
    </row>
    <row r="50" spans="1:9" ht="15.75" x14ac:dyDescent="0.25">
      <c r="A50" s="92"/>
      <c r="B50" s="3"/>
      <c r="C50" s="2" t="s">
        <v>20</v>
      </c>
      <c r="D50" s="4">
        <v>55</v>
      </c>
      <c r="E50" s="93">
        <v>0</v>
      </c>
      <c r="F50" s="4">
        <f t="shared" si="19"/>
        <v>0</v>
      </c>
      <c r="G50" s="4">
        <f t="shared" si="20"/>
        <v>55</v>
      </c>
      <c r="H50" s="18">
        <v>1666</v>
      </c>
      <c r="I50" s="4">
        <f t="shared" si="21"/>
        <v>91630</v>
      </c>
    </row>
    <row r="51" spans="1:9" ht="15.75" x14ac:dyDescent="0.25">
      <c r="A51" s="118"/>
      <c r="B51" s="8"/>
      <c r="C51" s="9"/>
      <c r="D51" s="10"/>
      <c r="E51" s="93"/>
      <c r="F51" s="137" t="s">
        <v>104</v>
      </c>
      <c r="G51" s="96">
        <f>AVERAGE(G48:G50)</f>
        <v>50.666666666666664</v>
      </c>
      <c r="H51" s="134">
        <f>SUM(H48:H50)</f>
        <v>4998</v>
      </c>
      <c r="I51" s="96">
        <f>G51*H51</f>
        <v>253232</v>
      </c>
    </row>
    <row r="52" spans="1:9" ht="15.75" x14ac:dyDescent="0.25">
      <c r="A52" s="92">
        <v>5</v>
      </c>
      <c r="B52" s="3" t="s">
        <v>7</v>
      </c>
      <c r="C52" s="2" t="s">
        <v>13</v>
      </c>
      <c r="D52" s="4">
        <v>37</v>
      </c>
      <c r="E52" s="93">
        <v>0</v>
      </c>
      <c r="F52" s="4">
        <f t="shared" ref="F52" si="22">D52*E52</f>
        <v>0</v>
      </c>
      <c r="G52" s="4">
        <f t="shared" ref="G52" si="23">D52+F52</f>
        <v>37</v>
      </c>
      <c r="H52" s="18">
        <v>5000</v>
      </c>
      <c r="I52" s="4">
        <f>G52*H52</f>
        <v>185000</v>
      </c>
    </row>
    <row r="53" spans="1:9" x14ac:dyDescent="0.25">
      <c r="A53" s="117"/>
      <c r="E53" s="93"/>
    </row>
    <row r="54" spans="1:9" ht="15.75" x14ac:dyDescent="0.25">
      <c r="A54" s="119"/>
      <c r="B54" s="13"/>
      <c r="C54" s="13"/>
      <c r="D54" s="10"/>
      <c r="E54" s="11"/>
      <c r="F54" s="137" t="s">
        <v>104</v>
      </c>
      <c r="G54" s="96">
        <f>AVERAGE(G52:G53)</f>
        <v>37</v>
      </c>
      <c r="H54" s="134">
        <f>SUM(H52:H53)</f>
        <v>5000</v>
      </c>
      <c r="I54" s="96">
        <f>G54*H54</f>
        <v>185000</v>
      </c>
    </row>
    <row r="55" spans="1:9" ht="15.75" x14ac:dyDescent="0.25">
      <c r="A55" s="117"/>
      <c r="D55" s="23"/>
      <c r="E55" s="140" t="s">
        <v>45</v>
      </c>
      <c r="F55" s="140"/>
      <c r="G55" s="140"/>
      <c r="H55" s="95">
        <f>H36+H43+H47+H51+H54</f>
        <v>24996</v>
      </c>
      <c r="I55" s="97">
        <f>I36+I43+I47+I51+I54</f>
        <v>1696242.6666666665</v>
      </c>
    </row>
    <row r="56" spans="1:9" x14ac:dyDescent="0.25">
      <c r="A56" s="117"/>
    </row>
    <row r="57" spans="1:9" x14ac:dyDescent="0.25">
      <c r="A57" s="117"/>
    </row>
    <row r="58" spans="1:9" ht="63.75" x14ac:dyDescent="0.3">
      <c r="A58" s="114" t="s">
        <v>94</v>
      </c>
      <c r="B58" s="15" t="s">
        <v>1</v>
      </c>
      <c r="C58" s="15" t="s">
        <v>29</v>
      </c>
      <c r="D58" s="38" t="s">
        <v>23</v>
      </c>
      <c r="E58" s="39" t="s">
        <v>26</v>
      </c>
      <c r="F58" s="39" t="s">
        <v>27</v>
      </c>
      <c r="G58" s="38" t="s">
        <v>28</v>
      </c>
      <c r="H58" s="40" t="s">
        <v>22</v>
      </c>
      <c r="I58" s="38" t="s">
        <v>25</v>
      </c>
    </row>
    <row r="59" spans="1:9" ht="51" customHeight="1" x14ac:dyDescent="0.25">
      <c r="A59" s="92">
        <v>1</v>
      </c>
      <c r="B59" s="3" t="s">
        <v>0</v>
      </c>
      <c r="C59" s="2" t="s">
        <v>3</v>
      </c>
      <c r="D59" s="4">
        <v>121.86</v>
      </c>
      <c r="E59" s="93">
        <v>0</v>
      </c>
      <c r="F59" s="4">
        <f>D59*E59</f>
        <v>0</v>
      </c>
      <c r="G59" s="4">
        <f>D59+F59</f>
        <v>121.86</v>
      </c>
      <c r="H59" s="18">
        <v>1125</v>
      </c>
      <c r="I59" s="4">
        <f>G59*H59</f>
        <v>137092.5</v>
      </c>
    </row>
    <row r="60" spans="1:9" ht="15.75" x14ac:dyDescent="0.25">
      <c r="A60" s="92"/>
      <c r="B60" s="3"/>
      <c r="C60" s="2" t="s">
        <v>16</v>
      </c>
      <c r="D60" s="4">
        <v>112</v>
      </c>
      <c r="E60" s="93">
        <v>0</v>
      </c>
      <c r="F60" s="4">
        <f t="shared" ref="F60:F62" si="24">D60*E60</f>
        <v>0</v>
      </c>
      <c r="G60" s="4">
        <f t="shared" ref="G60:G62" si="25">D60+F60</f>
        <v>112</v>
      </c>
      <c r="H60" s="18">
        <v>1125</v>
      </c>
      <c r="I60" s="4">
        <f t="shared" ref="I60:I62" si="26">G60*H60</f>
        <v>126000</v>
      </c>
    </row>
    <row r="61" spans="1:9" ht="15.75" x14ac:dyDescent="0.25">
      <c r="A61" s="92"/>
      <c r="B61" s="3"/>
      <c r="C61" s="2" t="s">
        <v>18</v>
      </c>
      <c r="D61" s="4">
        <v>73.94</v>
      </c>
      <c r="E61" s="93">
        <v>0</v>
      </c>
      <c r="F61" s="4">
        <f t="shared" si="24"/>
        <v>0</v>
      </c>
      <c r="G61" s="4">
        <f t="shared" si="25"/>
        <v>73.94</v>
      </c>
      <c r="H61" s="18">
        <v>1125</v>
      </c>
      <c r="I61" s="4">
        <f t="shared" si="26"/>
        <v>83182.5</v>
      </c>
    </row>
    <row r="62" spans="1:9" ht="15.75" x14ac:dyDescent="0.25">
      <c r="A62" s="92"/>
      <c r="B62" s="3"/>
      <c r="C62" s="2" t="s">
        <v>41</v>
      </c>
      <c r="D62" s="4">
        <v>60</v>
      </c>
      <c r="E62" s="93">
        <v>0</v>
      </c>
      <c r="F62" s="4">
        <f t="shared" si="24"/>
        <v>0</v>
      </c>
      <c r="G62" s="4">
        <f t="shared" si="25"/>
        <v>60</v>
      </c>
      <c r="H62" s="18">
        <v>1125</v>
      </c>
      <c r="I62" s="4">
        <f t="shared" si="26"/>
        <v>67500</v>
      </c>
    </row>
    <row r="63" spans="1:9" ht="15.75" x14ac:dyDescent="0.25">
      <c r="A63" s="118"/>
      <c r="B63" s="8"/>
      <c r="C63" s="9"/>
      <c r="D63" s="10"/>
      <c r="E63" s="93"/>
      <c r="F63" s="137" t="s">
        <v>104</v>
      </c>
      <c r="G63" s="96">
        <f>AVERAGE(G59:G62)</f>
        <v>91.95</v>
      </c>
      <c r="H63" s="134">
        <f>SUM(H59:H62)</f>
        <v>4500</v>
      </c>
      <c r="I63" s="96">
        <f>G63*H63</f>
        <v>413775</v>
      </c>
    </row>
    <row r="64" spans="1:9" ht="15.75" x14ac:dyDescent="0.25">
      <c r="A64" s="92">
        <v>2</v>
      </c>
      <c r="B64" s="3" t="s">
        <v>4</v>
      </c>
      <c r="C64" s="2" t="s">
        <v>8</v>
      </c>
      <c r="D64" s="4">
        <v>55</v>
      </c>
      <c r="E64" s="93">
        <v>0</v>
      </c>
      <c r="F64" s="4">
        <f t="shared" ref="F64:F69" si="27">D64*E64</f>
        <v>0</v>
      </c>
      <c r="G64" s="4">
        <f t="shared" ref="G64:G69" si="28">D64+F64</f>
        <v>55</v>
      </c>
      <c r="H64" s="18">
        <v>750</v>
      </c>
      <c r="I64" s="4">
        <f>G64*H64</f>
        <v>41250</v>
      </c>
    </row>
    <row r="65" spans="1:9" ht="15.75" x14ac:dyDescent="0.25">
      <c r="A65" s="92"/>
      <c r="B65" s="3"/>
      <c r="C65" s="2" t="s">
        <v>10</v>
      </c>
      <c r="D65" s="4">
        <v>35</v>
      </c>
      <c r="E65" s="93">
        <v>0</v>
      </c>
      <c r="F65" s="4">
        <f t="shared" si="27"/>
        <v>0</v>
      </c>
      <c r="G65" s="4">
        <f t="shared" si="28"/>
        <v>35</v>
      </c>
      <c r="H65" s="18">
        <v>750</v>
      </c>
      <c r="I65" s="4">
        <f t="shared" ref="I65:I69" si="29">G65*H65</f>
        <v>26250</v>
      </c>
    </row>
    <row r="66" spans="1:9" ht="15.75" x14ac:dyDescent="0.25">
      <c r="A66" s="92"/>
      <c r="B66" s="3"/>
      <c r="C66" s="2" t="s">
        <v>72</v>
      </c>
      <c r="D66" s="4">
        <v>55</v>
      </c>
      <c r="E66" s="93">
        <v>0</v>
      </c>
      <c r="F66" s="4">
        <f t="shared" si="27"/>
        <v>0</v>
      </c>
      <c r="G66" s="4">
        <f t="shared" si="28"/>
        <v>55</v>
      </c>
      <c r="H66" s="18">
        <v>750</v>
      </c>
      <c r="I66" s="4">
        <f t="shared" si="29"/>
        <v>41250</v>
      </c>
    </row>
    <row r="67" spans="1:9" ht="15.75" x14ac:dyDescent="0.25">
      <c r="A67" s="92"/>
      <c r="B67" s="3"/>
      <c r="C67" s="2" t="s">
        <v>12</v>
      </c>
      <c r="D67" s="4">
        <v>25</v>
      </c>
      <c r="E67" s="93">
        <v>0</v>
      </c>
      <c r="F67" s="4">
        <f t="shared" si="27"/>
        <v>0</v>
      </c>
      <c r="G67" s="4">
        <f t="shared" si="28"/>
        <v>25</v>
      </c>
      <c r="H67" s="18">
        <v>750</v>
      </c>
      <c r="I67" s="4">
        <f t="shared" si="29"/>
        <v>18750</v>
      </c>
    </row>
    <row r="68" spans="1:9" ht="15.75" x14ac:dyDescent="0.25">
      <c r="A68" s="92"/>
      <c r="B68" s="3"/>
      <c r="C68" s="2" t="s">
        <v>14</v>
      </c>
      <c r="D68" s="4">
        <v>30</v>
      </c>
      <c r="E68" s="93">
        <v>0</v>
      </c>
      <c r="F68" s="4">
        <f t="shared" si="27"/>
        <v>0</v>
      </c>
      <c r="G68" s="4">
        <f t="shared" si="28"/>
        <v>30</v>
      </c>
      <c r="H68" s="18">
        <v>750</v>
      </c>
      <c r="I68" s="4">
        <f t="shared" si="29"/>
        <v>22500</v>
      </c>
    </row>
    <row r="69" spans="1:9" ht="15.75" x14ac:dyDescent="0.25">
      <c r="A69" s="92"/>
      <c r="B69" s="3"/>
      <c r="C69" s="2" t="s">
        <v>17</v>
      </c>
      <c r="D69" s="4">
        <v>18</v>
      </c>
      <c r="E69" s="93">
        <v>0</v>
      </c>
      <c r="F69" s="4">
        <f t="shared" si="27"/>
        <v>0</v>
      </c>
      <c r="G69" s="4">
        <f t="shared" si="28"/>
        <v>18</v>
      </c>
      <c r="H69" s="18">
        <v>750</v>
      </c>
      <c r="I69" s="4">
        <f t="shared" si="29"/>
        <v>13500</v>
      </c>
    </row>
    <row r="70" spans="1:9" ht="15.75" x14ac:dyDescent="0.25">
      <c r="A70" s="118"/>
      <c r="B70" s="8"/>
      <c r="C70" s="9"/>
      <c r="D70" s="10"/>
      <c r="E70" s="93"/>
      <c r="F70" s="137" t="s">
        <v>104</v>
      </c>
      <c r="G70" s="96">
        <f>AVERAGE(G64:G69)</f>
        <v>36.333333333333336</v>
      </c>
      <c r="H70" s="134">
        <f>SUM(H64:H69)</f>
        <v>4500</v>
      </c>
      <c r="I70" s="96">
        <f t="shared" ref="I70:I75" si="30">G70*H70</f>
        <v>163500</v>
      </c>
    </row>
    <row r="71" spans="1:9" ht="15.75" x14ac:dyDescent="0.25">
      <c r="A71" s="92">
        <v>3</v>
      </c>
      <c r="B71" s="3" t="s">
        <v>102</v>
      </c>
      <c r="C71" s="2" t="s">
        <v>103</v>
      </c>
      <c r="D71" s="4">
        <v>60</v>
      </c>
      <c r="E71" s="93">
        <v>0</v>
      </c>
      <c r="F71" s="4">
        <f t="shared" ref="F71:F72" si="31">D71*E71</f>
        <v>0</v>
      </c>
      <c r="G71" s="4">
        <f t="shared" ref="G71:G72" si="32">D71+F71</f>
        <v>60</v>
      </c>
      <c r="H71" s="18">
        <v>1801</v>
      </c>
      <c r="I71" s="4">
        <f t="shared" si="30"/>
        <v>108060</v>
      </c>
    </row>
    <row r="72" spans="1:9" ht="15.75" x14ac:dyDescent="0.25">
      <c r="A72" s="92"/>
      <c r="B72" s="3"/>
      <c r="C72" s="2" t="s">
        <v>107</v>
      </c>
      <c r="D72" s="4">
        <v>100</v>
      </c>
      <c r="E72" s="93">
        <v>0</v>
      </c>
      <c r="F72" s="4">
        <f t="shared" si="31"/>
        <v>0</v>
      </c>
      <c r="G72" s="4">
        <f t="shared" si="32"/>
        <v>100</v>
      </c>
      <c r="H72" s="18">
        <v>1801</v>
      </c>
      <c r="I72" s="4">
        <f t="shared" si="30"/>
        <v>180100</v>
      </c>
    </row>
    <row r="73" spans="1:9" ht="15.75" x14ac:dyDescent="0.25">
      <c r="A73" s="92"/>
      <c r="B73" s="3"/>
      <c r="C73" s="2" t="s">
        <v>19</v>
      </c>
      <c r="D73" s="4">
        <v>210</v>
      </c>
      <c r="E73" s="93">
        <v>0</v>
      </c>
      <c r="F73" s="4">
        <f>D73*E73</f>
        <v>0</v>
      </c>
      <c r="G73" s="4">
        <f>D73+F73</f>
        <v>210</v>
      </c>
      <c r="H73" s="18">
        <v>900</v>
      </c>
      <c r="I73" s="4">
        <f t="shared" si="30"/>
        <v>189000</v>
      </c>
    </row>
    <row r="74" spans="1:9" ht="15.75" x14ac:dyDescent="0.25">
      <c r="A74" s="118"/>
      <c r="B74" s="8"/>
      <c r="C74" s="9"/>
      <c r="D74" s="10"/>
      <c r="E74" s="93"/>
      <c r="F74" s="137" t="s">
        <v>104</v>
      </c>
      <c r="G74" s="96">
        <f>AVERAGE(G71:G73)</f>
        <v>123.33333333333333</v>
      </c>
      <c r="H74" s="135">
        <f>SUM(H71:H73)</f>
        <v>4502</v>
      </c>
      <c r="I74" s="96">
        <f t="shared" si="30"/>
        <v>555246.66666666663</v>
      </c>
    </row>
    <row r="75" spans="1:9" ht="15.75" x14ac:dyDescent="0.25">
      <c r="A75" s="92">
        <v>4</v>
      </c>
      <c r="B75" s="3" t="s">
        <v>6</v>
      </c>
      <c r="C75" s="2" t="s">
        <v>9</v>
      </c>
      <c r="D75" s="4">
        <v>32</v>
      </c>
      <c r="E75" s="93">
        <v>0</v>
      </c>
      <c r="F75" s="4">
        <f t="shared" ref="F75:F77" si="33">D75*E75</f>
        <v>0</v>
      </c>
      <c r="G75" s="4">
        <f t="shared" ref="G75:G77" si="34">D75+F75</f>
        <v>32</v>
      </c>
      <c r="H75" s="18">
        <v>1501</v>
      </c>
      <c r="I75" s="4">
        <f t="shared" si="30"/>
        <v>48032</v>
      </c>
    </row>
    <row r="76" spans="1:9" ht="15.75" x14ac:dyDescent="0.25">
      <c r="A76" s="92"/>
      <c r="B76" s="3"/>
      <c r="C76" s="2" t="s">
        <v>15</v>
      </c>
      <c r="D76" s="4">
        <v>65</v>
      </c>
      <c r="E76" s="93">
        <v>0</v>
      </c>
      <c r="F76" s="4">
        <f t="shared" si="33"/>
        <v>0</v>
      </c>
      <c r="G76" s="4">
        <f t="shared" si="34"/>
        <v>65</v>
      </c>
      <c r="H76" s="18">
        <v>1501</v>
      </c>
      <c r="I76" s="4">
        <f t="shared" ref="I76:I77" si="35">G76*H76</f>
        <v>97565</v>
      </c>
    </row>
    <row r="77" spans="1:9" ht="15.75" x14ac:dyDescent="0.25">
      <c r="A77" s="92"/>
      <c r="B77" s="3"/>
      <c r="C77" s="2" t="s">
        <v>20</v>
      </c>
      <c r="D77" s="4">
        <v>55</v>
      </c>
      <c r="E77" s="93">
        <v>0</v>
      </c>
      <c r="F77" s="4">
        <f t="shared" si="33"/>
        <v>0</v>
      </c>
      <c r="G77" s="4">
        <f t="shared" si="34"/>
        <v>55</v>
      </c>
      <c r="H77" s="18">
        <v>1501</v>
      </c>
      <c r="I77" s="4">
        <f t="shared" si="35"/>
        <v>82555</v>
      </c>
    </row>
    <row r="78" spans="1:9" ht="15.75" x14ac:dyDescent="0.25">
      <c r="A78" s="118"/>
      <c r="B78" s="8"/>
      <c r="C78" s="9"/>
      <c r="D78" s="10"/>
      <c r="E78" s="93"/>
      <c r="F78" s="137" t="s">
        <v>104</v>
      </c>
      <c r="G78" s="96">
        <f>AVERAGE(G75:G77)</f>
        <v>50.666666666666664</v>
      </c>
      <c r="H78" s="134">
        <f>SUM(H75:H77)</f>
        <v>4503</v>
      </c>
      <c r="I78" s="96">
        <f>G78*H78</f>
        <v>228152</v>
      </c>
    </row>
    <row r="79" spans="1:9" ht="15.75" x14ac:dyDescent="0.25">
      <c r="A79" s="92">
        <v>5</v>
      </c>
      <c r="B79" s="3" t="s">
        <v>7</v>
      </c>
      <c r="C79" s="2" t="s">
        <v>13</v>
      </c>
      <c r="D79" s="4">
        <v>37</v>
      </c>
      <c r="E79" s="93">
        <v>0</v>
      </c>
      <c r="F79" s="4">
        <f t="shared" ref="F79" si="36">D79*E79</f>
        <v>0</v>
      </c>
      <c r="G79" s="4">
        <f t="shared" ref="G79" si="37">D79+F79</f>
        <v>37</v>
      </c>
      <c r="H79" s="18">
        <v>4503</v>
      </c>
      <c r="I79" s="4">
        <f>G79*H79</f>
        <v>166611</v>
      </c>
    </row>
    <row r="80" spans="1:9" x14ac:dyDescent="0.25">
      <c r="A80" s="117"/>
      <c r="E80" s="93"/>
    </row>
    <row r="81" spans="1:9" ht="15.75" x14ac:dyDescent="0.25">
      <c r="A81" s="13"/>
      <c r="B81" s="13"/>
      <c r="C81" s="13"/>
      <c r="D81" s="10"/>
      <c r="E81" s="98"/>
      <c r="F81" s="137" t="s">
        <v>104</v>
      </c>
      <c r="G81" s="96">
        <f>AVERAGE(G79:G80)</f>
        <v>37</v>
      </c>
      <c r="H81" s="134">
        <f>SUM(H79:H80)</f>
        <v>4503</v>
      </c>
      <c r="I81" s="96">
        <f>G81*H81</f>
        <v>166611</v>
      </c>
    </row>
    <row r="82" spans="1:9" ht="15.75" x14ac:dyDescent="0.25">
      <c r="D82" s="23"/>
      <c r="E82" s="140" t="s">
        <v>46</v>
      </c>
      <c r="F82" s="140"/>
      <c r="G82" s="140"/>
      <c r="H82" s="95">
        <f>H63+H70+H74+H78+H81</f>
        <v>22508</v>
      </c>
      <c r="I82" s="97">
        <f>I63+I70+I74+I78+I81</f>
        <v>1527284.6666666665</v>
      </c>
    </row>
    <row r="85" spans="1:9" ht="63.75" x14ac:dyDescent="0.3">
      <c r="A85" s="115" t="s">
        <v>95</v>
      </c>
      <c r="B85" s="43" t="s">
        <v>1</v>
      </c>
      <c r="C85" s="43" t="s">
        <v>29</v>
      </c>
      <c r="D85" s="44" t="s">
        <v>23</v>
      </c>
      <c r="E85" s="45" t="s">
        <v>26</v>
      </c>
      <c r="F85" s="45" t="s">
        <v>27</v>
      </c>
      <c r="G85" s="44" t="s">
        <v>28</v>
      </c>
      <c r="H85" s="46" t="s">
        <v>22</v>
      </c>
      <c r="I85" s="44" t="s">
        <v>25</v>
      </c>
    </row>
    <row r="86" spans="1:9" ht="51" customHeight="1" x14ac:dyDescent="0.25">
      <c r="A86" s="92">
        <v>1</v>
      </c>
      <c r="B86" s="3" t="s">
        <v>0</v>
      </c>
      <c r="C86" s="2" t="s">
        <v>3</v>
      </c>
      <c r="D86" s="4">
        <v>121.86</v>
      </c>
      <c r="E86" s="93">
        <v>0</v>
      </c>
      <c r="F86" s="4">
        <f>D86*E86</f>
        <v>0</v>
      </c>
      <c r="G86" s="4">
        <f>D86+F86</f>
        <v>121.86</v>
      </c>
      <c r="H86" s="18">
        <v>1068</v>
      </c>
      <c r="I86" s="4">
        <f>G86*H86</f>
        <v>130146.48</v>
      </c>
    </row>
    <row r="87" spans="1:9" ht="15.75" x14ac:dyDescent="0.25">
      <c r="A87" s="92"/>
      <c r="B87" s="3"/>
      <c r="C87" s="2" t="s">
        <v>16</v>
      </c>
      <c r="D87" s="4">
        <v>112</v>
      </c>
      <c r="E87" s="93">
        <v>0</v>
      </c>
      <c r="F87" s="4">
        <f t="shared" ref="F87:F89" si="38">D87*E87</f>
        <v>0</v>
      </c>
      <c r="G87" s="4">
        <f t="shared" ref="G87:G89" si="39">D87+F87</f>
        <v>112</v>
      </c>
      <c r="H87" s="18">
        <v>1068</v>
      </c>
      <c r="I87" s="4">
        <f t="shared" ref="I87:I89" si="40">G87*H87</f>
        <v>119616</v>
      </c>
    </row>
    <row r="88" spans="1:9" ht="15.75" x14ac:dyDescent="0.25">
      <c r="A88" s="92"/>
      <c r="B88" s="3"/>
      <c r="C88" s="2" t="s">
        <v>18</v>
      </c>
      <c r="D88" s="4">
        <v>73.94</v>
      </c>
      <c r="E88" s="93">
        <v>0</v>
      </c>
      <c r="F88" s="4">
        <f t="shared" si="38"/>
        <v>0</v>
      </c>
      <c r="G88" s="4">
        <f t="shared" si="39"/>
        <v>73.94</v>
      </c>
      <c r="H88" s="18">
        <v>1068</v>
      </c>
      <c r="I88" s="4">
        <f t="shared" si="40"/>
        <v>78967.92</v>
      </c>
    </row>
    <row r="89" spans="1:9" ht="15.75" x14ac:dyDescent="0.25">
      <c r="A89" s="92"/>
      <c r="B89" s="3"/>
      <c r="C89" s="2" t="s">
        <v>2</v>
      </c>
      <c r="D89" s="4">
        <v>60</v>
      </c>
      <c r="E89" s="93">
        <v>0</v>
      </c>
      <c r="F89" s="4">
        <f t="shared" si="38"/>
        <v>0</v>
      </c>
      <c r="G89" s="4">
        <f t="shared" si="39"/>
        <v>60</v>
      </c>
      <c r="H89" s="18">
        <v>1068</v>
      </c>
      <c r="I89" s="4">
        <f t="shared" si="40"/>
        <v>64080</v>
      </c>
    </row>
    <row r="90" spans="1:9" ht="15.75" x14ac:dyDescent="0.25">
      <c r="A90" s="118"/>
      <c r="B90" s="8"/>
      <c r="C90" s="9"/>
      <c r="D90" s="10"/>
      <c r="E90" s="93"/>
      <c r="F90" s="137" t="s">
        <v>104</v>
      </c>
      <c r="G90" s="96">
        <f>AVERAGE(G86:G89)</f>
        <v>91.95</v>
      </c>
      <c r="H90" s="134">
        <f>SUM(H86:H89)</f>
        <v>4272</v>
      </c>
      <c r="I90" s="96">
        <f>G90*H90</f>
        <v>392810.4</v>
      </c>
    </row>
    <row r="91" spans="1:9" ht="15.75" x14ac:dyDescent="0.25">
      <c r="A91" s="92">
        <v>2</v>
      </c>
      <c r="B91" s="3" t="s">
        <v>4</v>
      </c>
      <c r="C91" s="2" t="s">
        <v>8</v>
      </c>
      <c r="D91" s="4">
        <v>55</v>
      </c>
      <c r="E91" s="93">
        <v>0</v>
      </c>
      <c r="F91" s="4">
        <f t="shared" ref="F91:F96" si="41">D91*E91</f>
        <v>0</v>
      </c>
      <c r="G91" s="4">
        <f t="shared" ref="G91:G96" si="42">D91+F91</f>
        <v>55</v>
      </c>
      <c r="H91" s="18">
        <v>712</v>
      </c>
      <c r="I91" s="4">
        <f>G91*H91</f>
        <v>39160</v>
      </c>
    </row>
    <row r="92" spans="1:9" ht="15.75" x14ac:dyDescent="0.25">
      <c r="A92" s="92"/>
      <c r="B92" s="3"/>
      <c r="C92" s="2" t="s">
        <v>10</v>
      </c>
      <c r="D92" s="4">
        <v>35</v>
      </c>
      <c r="E92" s="93">
        <v>0</v>
      </c>
      <c r="F92" s="4">
        <f t="shared" si="41"/>
        <v>0</v>
      </c>
      <c r="G92" s="4">
        <f t="shared" si="42"/>
        <v>35</v>
      </c>
      <c r="H92" s="18">
        <v>712</v>
      </c>
      <c r="I92" s="4">
        <f t="shared" ref="I92:I96" si="43">G92*H92</f>
        <v>24920</v>
      </c>
    </row>
    <row r="93" spans="1:9" ht="15.75" x14ac:dyDescent="0.25">
      <c r="A93" s="92"/>
      <c r="B93" s="3"/>
      <c r="C93" s="2" t="s">
        <v>72</v>
      </c>
      <c r="D93" s="4">
        <v>55</v>
      </c>
      <c r="E93" s="93">
        <v>0</v>
      </c>
      <c r="F93" s="4">
        <f t="shared" si="41"/>
        <v>0</v>
      </c>
      <c r="G93" s="4">
        <f t="shared" si="42"/>
        <v>55</v>
      </c>
      <c r="H93" s="18">
        <v>712</v>
      </c>
      <c r="I93" s="4">
        <f t="shared" si="43"/>
        <v>39160</v>
      </c>
    </row>
    <row r="94" spans="1:9" ht="15.75" x14ac:dyDescent="0.25">
      <c r="A94" s="92"/>
      <c r="B94" s="3"/>
      <c r="C94" s="2" t="s">
        <v>12</v>
      </c>
      <c r="D94" s="4">
        <v>25</v>
      </c>
      <c r="E94" s="93">
        <v>0</v>
      </c>
      <c r="F94" s="4">
        <f t="shared" si="41"/>
        <v>0</v>
      </c>
      <c r="G94" s="4">
        <f t="shared" si="42"/>
        <v>25</v>
      </c>
      <c r="H94" s="18">
        <v>712</v>
      </c>
      <c r="I94" s="4">
        <f t="shared" si="43"/>
        <v>17800</v>
      </c>
    </row>
    <row r="95" spans="1:9" ht="15.75" x14ac:dyDescent="0.25">
      <c r="A95" s="92"/>
      <c r="B95" s="3"/>
      <c r="C95" s="2" t="s">
        <v>14</v>
      </c>
      <c r="D95" s="4">
        <v>30</v>
      </c>
      <c r="E95" s="93">
        <v>0</v>
      </c>
      <c r="F95" s="4">
        <f t="shared" si="41"/>
        <v>0</v>
      </c>
      <c r="G95" s="4">
        <f t="shared" si="42"/>
        <v>30</v>
      </c>
      <c r="H95" s="18">
        <v>712</v>
      </c>
      <c r="I95" s="4">
        <f t="shared" si="43"/>
        <v>21360</v>
      </c>
    </row>
    <row r="96" spans="1:9" ht="15.75" x14ac:dyDescent="0.25">
      <c r="A96" s="92"/>
      <c r="B96" s="3"/>
      <c r="C96" s="2" t="s">
        <v>17</v>
      </c>
      <c r="D96" s="4">
        <v>18</v>
      </c>
      <c r="E96" s="93">
        <v>0</v>
      </c>
      <c r="F96" s="4">
        <f t="shared" si="41"/>
        <v>0</v>
      </c>
      <c r="G96" s="4">
        <f t="shared" si="42"/>
        <v>18</v>
      </c>
      <c r="H96" s="18">
        <v>712</v>
      </c>
      <c r="I96" s="4">
        <f t="shared" si="43"/>
        <v>12816</v>
      </c>
    </row>
    <row r="97" spans="1:9" ht="15.75" x14ac:dyDescent="0.25">
      <c r="A97" s="118"/>
      <c r="B97" s="8"/>
      <c r="C97" s="9"/>
      <c r="D97" s="10"/>
      <c r="E97" s="93"/>
      <c r="F97" s="137" t="s">
        <v>104</v>
      </c>
      <c r="G97" s="96">
        <f>AVERAGE(G91:G96)</f>
        <v>36.333333333333336</v>
      </c>
      <c r="H97" s="134">
        <f>SUM(H91:H96)</f>
        <v>4272</v>
      </c>
      <c r="I97" s="96">
        <f t="shared" ref="I97:I102" si="44">G97*H97</f>
        <v>155216</v>
      </c>
    </row>
    <row r="98" spans="1:9" ht="15.75" x14ac:dyDescent="0.25">
      <c r="A98" s="92">
        <v>3</v>
      </c>
      <c r="B98" s="3" t="s">
        <v>102</v>
      </c>
      <c r="C98" s="2" t="s">
        <v>103</v>
      </c>
      <c r="D98" s="4">
        <v>60</v>
      </c>
      <c r="E98" s="93">
        <v>0</v>
      </c>
      <c r="F98" s="4">
        <f t="shared" ref="F98:F99" si="45">D98*E98</f>
        <v>0</v>
      </c>
      <c r="G98" s="4">
        <f t="shared" ref="G98:G99" si="46">D98+F98</f>
        <v>60</v>
      </c>
      <c r="H98" s="18">
        <v>1709</v>
      </c>
      <c r="I98" s="4">
        <f t="shared" si="44"/>
        <v>102540</v>
      </c>
    </row>
    <row r="99" spans="1:9" ht="15.75" x14ac:dyDescent="0.25">
      <c r="A99" s="92"/>
      <c r="B99" s="3"/>
      <c r="C99" s="2" t="s">
        <v>107</v>
      </c>
      <c r="D99" s="4">
        <v>100</v>
      </c>
      <c r="E99" s="93">
        <v>0</v>
      </c>
      <c r="F99" s="4">
        <f t="shared" si="45"/>
        <v>0</v>
      </c>
      <c r="G99" s="4">
        <f t="shared" si="46"/>
        <v>100</v>
      </c>
      <c r="H99" s="18">
        <v>1709</v>
      </c>
      <c r="I99" s="4">
        <f t="shared" si="44"/>
        <v>170900</v>
      </c>
    </row>
    <row r="100" spans="1:9" ht="15.75" x14ac:dyDescent="0.25">
      <c r="A100" s="92"/>
      <c r="B100" s="3"/>
      <c r="C100" s="2" t="s">
        <v>19</v>
      </c>
      <c r="D100" s="4">
        <v>210</v>
      </c>
      <c r="E100" s="93">
        <v>0</v>
      </c>
      <c r="F100" s="4">
        <f>D100*E100</f>
        <v>0</v>
      </c>
      <c r="G100" s="4">
        <f>D100+F100</f>
        <v>210</v>
      </c>
      <c r="H100" s="18">
        <v>854</v>
      </c>
      <c r="I100" s="4">
        <f t="shared" si="44"/>
        <v>179340</v>
      </c>
    </row>
    <row r="101" spans="1:9" ht="15.75" x14ac:dyDescent="0.25">
      <c r="A101" s="118"/>
      <c r="B101" s="8"/>
      <c r="C101" s="9"/>
      <c r="D101" s="10"/>
      <c r="E101" s="93"/>
      <c r="F101" s="137" t="s">
        <v>104</v>
      </c>
      <c r="G101" s="96">
        <f>AVERAGE(G98:G100)</f>
        <v>123.33333333333333</v>
      </c>
      <c r="H101" s="135">
        <f>SUM(H98:H100)</f>
        <v>4272</v>
      </c>
      <c r="I101" s="96">
        <f t="shared" si="44"/>
        <v>526880</v>
      </c>
    </row>
    <row r="102" spans="1:9" ht="15.75" x14ac:dyDescent="0.25">
      <c r="A102" s="92">
        <v>4</v>
      </c>
      <c r="B102" s="3" t="s">
        <v>6</v>
      </c>
      <c r="C102" s="2" t="s">
        <v>9</v>
      </c>
      <c r="D102" s="4">
        <v>32</v>
      </c>
      <c r="E102" s="93">
        <v>0</v>
      </c>
      <c r="F102" s="4">
        <f t="shared" ref="F102:F104" si="47">D102*E102</f>
        <v>0</v>
      </c>
      <c r="G102" s="4">
        <f t="shared" ref="G102:G104" si="48">D102+F102</f>
        <v>32</v>
      </c>
      <c r="H102" s="18">
        <v>1424</v>
      </c>
      <c r="I102" s="4">
        <f t="shared" si="44"/>
        <v>45568</v>
      </c>
    </row>
    <row r="103" spans="1:9" ht="15.75" x14ac:dyDescent="0.25">
      <c r="A103" s="92"/>
      <c r="B103" s="3"/>
      <c r="C103" s="2" t="s">
        <v>15</v>
      </c>
      <c r="D103" s="4">
        <v>65</v>
      </c>
      <c r="E103" s="93">
        <v>0</v>
      </c>
      <c r="F103" s="4">
        <f t="shared" si="47"/>
        <v>0</v>
      </c>
      <c r="G103" s="4">
        <f t="shared" si="48"/>
        <v>65</v>
      </c>
      <c r="H103" s="18">
        <v>1424</v>
      </c>
      <c r="I103" s="4">
        <f t="shared" ref="I103:I104" si="49">G103*H103</f>
        <v>92560</v>
      </c>
    </row>
    <row r="104" spans="1:9" ht="15.75" x14ac:dyDescent="0.25">
      <c r="A104" s="92"/>
      <c r="B104" s="3"/>
      <c r="C104" s="2" t="s">
        <v>20</v>
      </c>
      <c r="D104" s="4">
        <v>55</v>
      </c>
      <c r="E104" s="93">
        <v>0</v>
      </c>
      <c r="F104" s="4">
        <f t="shared" si="47"/>
        <v>0</v>
      </c>
      <c r="G104" s="4">
        <f t="shared" si="48"/>
        <v>55</v>
      </c>
      <c r="H104" s="18">
        <v>1424</v>
      </c>
      <c r="I104" s="4">
        <f t="shared" si="49"/>
        <v>78320</v>
      </c>
    </row>
    <row r="105" spans="1:9" ht="15.75" x14ac:dyDescent="0.25">
      <c r="A105" s="118"/>
      <c r="B105" s="8"/>
      <c r="C105" s="9"/>
      <c r="D105" s="10"/>
      <c r="E105" s="93"/>
      <c r="F105" s="137" t="s">
        <v>104</v>
      </c>
      <c r="G105" s="96">
        <f>AVERAGE(G102:G104)</f>
        <v>50.666666666666664</v>
      </c>
      <c r="H105" s="134">
        <f>SUM(H102:H104)</f>
        <v>4272</v>
      </c>
      <c r="I105" s="96">
        <f>G105*H105</f>
        <v>216448</v>
      </c>
    </row>
    <row r="106" spans="1:9" ht="15.75" x14ac:dyDescent="0.25">
      <c r="A106" s="92">
        <v>5</v>
      </c>
      <c r="B106" s="3" t="s">
        <v>7</v>
      </c>
      <c r="C106" s="2" t="s">
        <v>13</v>
      </c>
      <c r="D106" s="4">
        <v>37</v>
      </c>
      <c r="E106" s="93">
        <v>0</v>
      </c>
      <c r="F106" s="4">
        <f t="shared" ref="F106" si="50">D106*E106</f>
        <v>0</v>
      </c>
      <c r="G106" s="4">
        <f t="shared" ref="G106" si="51">D106+F106</f>
        <v>37</v>
      </c>
      <c r="H106" s="18">
        <v>4273</v>
      </c>
      <c r="I106" s="4">
        <f>G106*H106</f>
        <v>158101</v>
      </c>
    </row>
    <row r="107" spans="1:9" x14ac:dyDescent="0.25">
      <c r="A107" s="117"/>
      <c r="E107" s="93"/>
    </row>
    <row r="108" spans="1:9" ht="15.75" x14ac:dyDescent="0.25">
      <c r="A108" s="13"/>
      <c r="B108" s="13"/>
      <c r="C108" s="13"/>
      <c r="D108" s="10"/>
      <c r="E108" s="98"/>
      <c r="F108" s="137" t="s">
        <v>104</v>
      </c>
      <c r="G108" s="96">
        <f>AVERAGE(G106:G107)</f>
        <v>37</v>
      </c>
      <c r="H108" s="134">
        <f>SUM(H106:H107)</f>
        <v>4273</v>
      </c>
      <c r="I108" s="96">
        <f>G108*H108</f>
        <v>158101</v>
      </c>
    </row>
    <row r="109" spans="1:9" ht="15.75" x14ac:dyDescent="0.25">
      <c r="D109" s="23"/>
      <c r="E109" s="140" t="s">
        <v>47</v>
      </c>
      <c r="F109" s="140"/>
      <c r="G109" s="140"/>
      <c r="H109" s="95">
        <f>H90+H97+H101+H105+H108</f>
        <v>21361</v>
      </c>
      <c r="I109" s="97">
        <f>I90+I97+I101+I105+I108</f>
        <v>1449455.4</v>
      </c>
    </row>
    <row r="112" spans="1:9" ht="63.75" x14ac:dyDescent="0.3">
      <c r="A112" s="116" t="s">
        <v>96</v>
      </c>
      <c r="B112" s="52" t="s">
        <v>1</v>
      </c>
      <c r="C112" s="51" t="s">
        <v>29</v>
      </c>
      <c r="D112" s="55" t="s">
        <v>23</v>
      </c>
      <c r="E112" s="56" t="s">
        <v>26</v>
      </c>
      <c r="F112" s="56" t="s">
        <v>27</v>
      </c>
      <c r="G112" s="55" t="s">
        <v>28</v>
      </c>
      <c r="H112" s="57" t="s">
        <v>22</v>
      </c>
      <c r="I112" s="55" t="s">
        <v>25</v>
      </c>
    </row>
    <row r="113" spans="1:9" ht="50.25" customHeight="1" x14ac:dyDescent="0.25">
      <c r="A113" s="92">
        <v>1</v>
      </c>
      <c r="B113" s="3" t="s">
        <v>0</v>
      </c>
      <c r="C113" s="2" t="s">
        <v>3</v>
      </c>
      <c r="D113" s="4">
        <v>121.86</v>
      </c>
      <c r="E113" s="93">
        <v>0</v>
      </c>
      <c r="F113" s="4">
        <f>D113*E113</f>
        <v>0</v>
      </c>
      <c r="G113" s="4">
        <f>D113+F113</f>
        <v>121.86</v>
      </c>
      <c r="H113" s="18">
        <v>1013</v>
      </c>
      <c r="I113" s="4">
        <f>G113*H113</f>
        <v>123444.18</v>
      </c>
    </row>
    <row r="114" spans="1:9" ht="15.75" x14ac:dyDescent="0.25">
      <c r="A114" s="92"/>
      <c r="B114" s="3"/>
      <c r="C114" s="2" t="s">
        <v>16</v>
      </c>
      <c r="D114" s="4">
        <v>112</v>
      </c>
      <c r="E114" s="93">
        <v>0</v>
      </c>
      <c r="F114" s="4">
        <f t="shared" ref="F114:F116" si="52">D114*E114</f>
        <v>0</v>
      </c>
      <c r="G114" s="4">
        <f t="shared" ref="G114:G116" si="53">D114+F114</f>
        <v>112</v>
      </c>
      <c r="H114" s="18">
        <v>1013</v>
      </c>
      <c r="I114" s="4">
        <f t="shared" ref="I114:I116" si="54">G114*H114</f>
        <v>113456</v>
      </c>
    </row>
    <row r="115" spans="1:9" ht="15.75" x14ac:dyDescent="0.25">
      <c r="A115" s="92"/>
      <c r="B115" s="3"/>
      <c r="C115" s="2" t="s">
        <v>18</v>
      </c>
      <c r="D115" s="4">
        <v>73.94</v>
      </c>
      <c r="E115" s="93">
        <v>0</v>
      </c>
      <c r="F115" s="4">
        <f t="shared" si="52"/>
        <v>0</v>
      </c>
      <c r="G115" s="4">
        <f t="shared" si="53"/>
        <v>73.94</v>
      </c>
      <c r="H115" s="18">
        <v>1013</v>
      </c>
      <c r="I115" s="4">
        <f t="shared" si="54"/>
        <v>74901.22</v>
      </c>
    </row>
    <row r="116" spans="1:9" ht="15.75" x14ac:dyDescent="0.25">
      <c r="A116" s="92"/>
      <c r="B116" s="3"/>
      <c r="C116" s="2" t="s">
        <v>2</v>
      </c>
      <c r="D116" s="4">
        <v>60</v>
      </c>
      <c r="E116" s="93">
        <v>0</v>
      </c>
      <c r="F116" s="4">
        <f t="shared" si="52"/>
        <v>0</v>
      </c>
      <c r="G116" s="4">
        <f t="shared" si="53"/>
        <v>60</v>
      </c>
      <c r="H116" s="18">
        <v>1013</v>
      </c>
      <c r="I116" s="4">
        <f t="shared" si="54"/>
        <v>60780</v>
      </c>
    </row>
    <row r="117" spans="1:9" ht="15.75" x14ac:dyDescent="0.25">
      <c r="A117" s="118"/>
      <c r="B117" s="8"/>
      <c r="C117" s="9"/>
      <c r="D117" s="10"/>
      <c r="E117" s="93"/>
      <c r="F117" s="137" t="s">
        <v>104</v>
      </c>
      <c r="G117" s="96">
        <f>AVERAGE(G113:G116)</f>
        <v>91.95</v>
      </c>
      <c r="H117" s="134">
        <f>SUM(H113:H116)</f>
        <v>4052</v>
      </c>
      <c r="I117" s="96">
        <f>G117*H117</f>
        <v>372581.4</v>
      </c>
    </row>
    <row r="118" spans="1:9" ht="15.75" x14ac:dyDescent="0.25">
      <c r="A118" s="92">
        <v>2</v>
      </c>
      <c r="B118" s="3" t="s">
        <v>4</v>
      </c>
      <c r="C118" s="2" t="s">
        <v>8</v>
      </c>
      <c r="D118" s="4">
        <v>55</v>
      </c>
      <c r="E118" s="93">
        <v>0</v>
      </c>
      <c r="F118" s="4">
        <f t="shared" ref="F118:F123" si="55">D118*E118</f>
        <v>0</v>
      </c>
      <c r="G118" s="4">
        <f t="shared" ref="G118:G123" si="56">D118+F118</f>
        <v>55</v>
      </c>
      <c r="H118" s="18">
        <v>675</v>
      </c>
      <c r="I118" s="4">
        <f>G118*H118</f>
        <v>37125</v>
      </c>
    </row>
    <row r="119" spans="1:9" ht="15.75" x14ac:dyDescent="0.25">
      <c r="A119" s="92"/>
      <c r="B119" s="3"/>
      <c r="C119" s="2" t="s">
        <v>10</v>
      </c>
      <c r="D119" s="4">
        <v>35</v>
      </c>
      <c r="E119" s="93">
        <v>0</v>
      </c>
      <c r="F119" s="4">
        <f t="shared" si="55"/>
        <v>0</v>
      </c>
      <c r="G119" s="4">
        <f t="shared" si="56"/>
        <v>35</v>
      </c>
      <c r="H119" s="18">
        <v>675</v>
      </c>
      <c r="I119" s="4">
        <f t="shared" ref="I119:I123" si="57">G119*H119</f>
        <v>23625</v>
      </c>
    </row>
    <row r="120" spans="1:9" ht="15.75" x14ac:dyDescent="0.25">
      <c r="A120" s="92"/>
      <c r="B120" s="3"/>
      <c r="C120" s="2" t="s">
        <v>72</v>
      </c>
      <c r="D120" s="4">
        <v>55</v>
      </c>
      <c r="E120" s="93">
        <v>0</v>
      </c>
      <c r="F120" s="4">
        <f t="shared" si="55"/>
        <v>0</v>
      </c>
      <c r="G120" s="4">
        <f t="shared" si="56"/>
        <v>55</v>
      </c>
      <c r="H120" s="18">
        <v>675</v>
      </c>
      <c r="I120" s="4">
        <f t="shared" si="57"/>
        <v>37125</v>
      </c>
    </row>
    <row r="121" spans="1:9" ht="15.75" x14ac:dyDescent="0.25">
      <c r="A121" s="92"/>
      <c r="B121" s="3"/>
      <c r="C121" s="2" t="s">
        <v>12</v>
      </c>
      <c r="D121" s="4">
        <v>25</v>
      </c>
      <c r="E121" s="93">
        <v>0</v>
      </c>
      <c r="F121" s="4">
        <f t="shared" si="55"/>
        <v>0</v>
      </c>
      <c r="G121" s="4">
        <f t="shared" si="56"/>
        <v>25</v>
      </c>
      <c r="H121" s="18">
        <v>675</v>
      </c>
      <c r="I121" s="4">
        <f t="shared" si="57"/>
        <v>16875</v>
      </c>
    </row>
    <row r="122" spans="1:9" ht="15.75" x14ac:dyDescent="0.25">
      <c r="A122" s="92"/>
      <c r="B122" s="3"/>
      <c r="C122" s="2" t="s">
        <v>14</v>
      </c>
      <c r="D122" s="4">
        <v>30</v>
      </c>
      <c r="E122" s="93">
        <v>0</v>
      </c>
      <c r="F122" s="4">
        <f t="shared" si="55"/>
        <v>0</v>
      </c>
      <c r="G122" s="4">
        <f t="shared" si="56"/>
        <v>30</v>
      </c>
      <c r="H122" s="18">
        <v>675</v>
      </c>
      <c r="I122" s="4">
        <f t="shared" si="57"/>
        <v>20250</v>
      </c>
    </row>
    <row r="123" spans="1:9" ht="15.75" x14ac:dyDescent="0.25">
      <c r="A123" s="92"/>
      <c r="B123" s="3"/>
      <c r="C123" s="2" t="s">
        <v>17</v>
      </c>
      <c r="D123" s="4">
        <v>18</v>
      </c>
      <c r="E123" s="93">
        <v>0</v>
      </c>
      <c r="F123" s="4">
        <f t="shared" si="55"/>
        <v>0</v>
      </c>
      <c r="G123" s="4">
        <f t="shared" si="56"/>
        <v>18</v>
      </c>
      <c r="H123" s="18">
        <v>675</v>
      </c>
      <c r="I123" s="4">
        <f t="shared" si="57"/>
        <v>12150</v>
      </c>
    </row>
    <row r="124" spans="1:9" ht="15.75" x14ac:dyDescent="0.25">
      <c r="A124" s="118"/>
      <c r="B124" s="8"/>
      <c r="C124" s="9"/>
      <c r="D124" s="10"/>
      <c r="E124" s="93"/>
      <c r="F124" s="137" t="s">
        <v>104</v>
      </c>
      <c r="G124" s="96">
        <f>AVERAGE(G118:G123)</f>
        <v>36.333333333333336</v>
      </c>
      <c r="H124" s="134">
        <f>SUM(H118:H123)</f>
        <v>4050</v>
      </c>
      <c r="I124" s="96">
        <f t="shared" ref="I124:I129" si="58">G124*H124</f>
        <v>147150</v>
      </c>
    </row>
    <row r="125" spans="1:9" ht="15.75" x14ac:dyDescent="0.25">
      <c r="A125" s="92">
        <v>3</v>
      </c>
      <c r="B125" s="3" t="s">
        <v>102</v>
      </c>
      <c r="C125" s="2" t="s">
        <v>103</v>
      </c>
      <c r="D125" s="4">
        <v>60</v>
      </c>
      <c r="E125" s="93">
        <v>0</v>
      </c>
      <c r="F125" s="4">
        <f>D125*E125</f>
        <v>0</v>
      </c>
      <c r="G125" s="4">
        <f t="shared" ref="G125" si="59">D125+F125</f>
        <v>60</v>
      </c>
      <c r="H125" s="18">
        <v>1622</v>
      </c>
      <c r="I125" s="4">
        <f t="shared" si="58"/>
        <v>97320</v>
      </c>
    </row>
    <row r="126" spans="1:9" ht="15.75" x14ac:dyDescent="0.25">
      <c r="A126" s="92"/>
      <c r="B126" s="3"/>
      <c r="C126" s="2" t="s">
        <v>107</v>
      </c>
      <c r="D126" s="4">
        <v>100</v>
      </c>
      <c r="E126" s="93">
        <v>0</v>
      </c>
      <c r="F126" s="4">
        <f>D126*E126</f>
        <v>0</v>
      </c>
      <c r="G126" s="4">
        <f>D126+F126</f>
        <v>100</v>
      </c>
      <c r="H126" s="18">
        <v>1622</v>
      </c>
      <c r="I126" s="4">
        <f t="shared" si="58"/>
        <v>162200</v>
      </c>
    </row>
    <row r="127" spans="1:9" ht="15.75" x14ac:dyDescent="0.25">
      <c r="A127" s="92"/>
      <c r="B127" s="3"/>
      <c r="C127" s="2" t="s">
        <v>19</v>
      </c>
      <c r="D127" s="4">
        <v>210</v>
      </c>
      <c r="E127" s="93">
        <v>0</v>
      </c>
      <c r="F127" s="4">
        <f>D127*E127</f>
        <v>0</v>
      </c>
      <c r="G127" s="4">
        <f>D127+F127</f>
        <v>210</v>
      </c>
      <c r="H127" s="18">
        <v>811</v>
      </c>
      <c r="I127" s="4">
        <f t="shared" si="58"/>
        <v>170310</v>
      </c>
    </row>
    <row r="128" spans="1:9" ht="15.75" x14ac:dyDescent="0.25">
      <c r="A128" s="118"/>
      <c r="B128" s="8"/>
      <c r="C128" s="9"/>
      <c r="D128" s="10"/>
      <c r="E128" s="93"/>
      <c r="F128" s="137" t="s">
        <v>104</v>
      </c>
      <c r="G128" s="96">
        <f>AVERAGE(G125:G127)</f>
        <v>123.33333333333333</v>
      </c>
      <c r="H128" s="135">
        <f>SUM(H125:H127)</f>
        <v>4055</v>
      </c>
      <c r="I128" s="96">
        <f t="shared" si="58"/>
        <v>500116.66666666663</v>
      </c>
    </row>
    <row r="129" spans="1:12" ht="15.75" x14ac:dyDescent="0.25">
      <c r="A129" s="92">
        <v>4</v>
      </c>
      <c r="B129" s="3" t="s">
        <v>6</v>
      </c>
      <c r="C129" s="2" t="s">
        <v>9</v>
      </c>
      <c r="D129" s="4">
        <v>32</v>
      </c>
      <c r="E129" s="93">
        <v>0</v>
      </c>
      <c r="F129" s="4">
        <f t="shared" ref="F129:F131" si="60">D129*E129</f>
        <v>0</v>
      </c>
      <c r="G129" s="4">
        <f t="shared" ref="G129:G131" si="61">D129+F129</f>
        <v>32</v>
      </c>
      <c r="H129" s="18">
        <v>1351</v>
      </c>
      <c r="I129" s="4">
        <f t="shared" si="58"/>
        <v>43232</v>
      </c>
    </row>
    <row r="130" spans="1:12" ht="15.75" x14ac:dyDescent="0.25">
      <c r="A130" s="92"/>
      <c r="B130" s="3"/>
      <c r="C130" s="2" t="s">
        <v>15</v>
      </c>
      <c r="D130" s="4">
        <v>65</v>
      </c>
      <c r="E130" s="93">
        <v>0</v>
      </c>
      <c r="F130" s="4">
        <f t="shared" si="60"/>
        <v>0</v>
      </c>
      <c r="G130" s="4">
        <f t="shared" si="61"/>
        <v>65</v>
      </c>
      <c r="H130" s="18">
        <v>1351</v>
      </c>
      <c r="I130" s="4">
        <f t="shared" ref="I130:I131" si="62">G130*H130</f>
        <v>87815</v>
      </c>
    </row>
    <row r="131" spans="1:12" ht="15.75" x14ac:dyDescent="0.25">
      <c r="A131" s="92"/>
      <c r="B131" s="3"/>
      <c r="C131" s="2" t="s">
        <v>20</v>
      </c>
      <c r="D131" s="4">
        <v>55</v>
      </c>
      <c r="E131" s="93">
        <v>0</v>
      </c>
      <c r="F131" s="4">
        <f t="shared" si="60"/>
        <v>0</v>
      </c>
      <c r="G131" s="4">
        <f t="shared" si="61"/>
        <v>55</v>
      </c>
      <c r="H131" s="18">
        <v>1351</v>
      </c>
      <c r="I131" s="4">
        <f t="shared" si="62"/>
        <v>74305</v>
      </c>
      <c r="L131" s="12"/>
    </row>
    <row r="132" spans="1:12" ht="15.75" x14ac:dyDescent="0.25">
      <c r="A132" s="118"/>
      <c r="B132" s="8"/>
      <c r="C132" s="9"/>
      <c r="D132" s="10"/>
      <c r="E132" s="93"/>
      <c r="F132" s="137" t="s">
        <v>104</v>
      </c>
      <c r="G132" s="96">
        <f>AVERAGE(G129:G131)</f>
        <v>50.666666666666664</v>
      </c>
      <c r="H132" s="134">
        <f>SUM(H129:H131)</f>
        <v>4053</v>
      </c>
      <c r="I132" s="96">
        <f>G132*H132</f>
        <v>205352</v>
      </c>
      <c r="L132" s="12"/>
    </row>
    <row r="133" spans="1:12" ht="15.75" x14ac:dyDescent="0.25">
      <c r="A133" s="92">
        <v>5</v>
      </c>
      <c r="B133" s="3" t="s">
        <v>7</v>
      </c>
      <c r="C133" s="2" t="s">
        <v>13</v>
      </c>
      <c r="D133" s="4">
        <v>37</v>
      </c>
      <c r="E133" s="93">
        <v>0</v>
      </c>
      <c r="F133" s="4">
        <f t="shared" ref="F133" si="63">D133*E133</f>
        <v>0</v>
      </c>
      <c r="G133" s="4">
        <f t="shared" ref="G133" si="64">D133+F133</f>
        <v>37</v>
      </c>
      <c r="H133" s="18">
        <v>4055</v>
      </c>
      <c r="I133" s="4">
        <f>G133*H133</f>
        <v>150035</v>
      </c>
    </row>
    <row r="134" spans="1:12" x14ac:dyDescent="0.25">
      <c r="A134" s="117"/>
      <c r="E134" s="93"/>
    </row>
    <row r="135" spans="1:12" ht="15.75" x14ac:dyDescent="0.25">
      <c r="A135" s="13"/>
      <c r="B135" s="13"/>
      <c r="C135" s="13"/>
      <c r="D135" s="10"/>
      <c r="E135" s="11"/>
      <c r="F135" s="137" t="s">
        <v>104</v>
      </c>
      <c r="G135" s="96">
        <f>AVERAGE(G133:G134)</f>
        <v>37</v>
      </c>
      <c r="H135" s="134">
        <f>SUM(H133:H134)</f>
        <v>4055</v>
      </c>
      <c r="I135" s="96">
        <f>G135*H135</f>
        <v>150035</v>
      </c>
    </row>
    <row r="136" spans="1:12" ht="15.75" x14ac:dyDescent="0.25">
      <c r="D136" s="23"/>
      <c r="E136" s="140" t="s">
        <v>48</v>
      </c>
      <c r="F136" s="140"/>
      <c r="G136" s="140"/>
      <c r="H136" s="95">
        <f>H117+H124+H128+H132+H135</f>
        <v>20265</v>
      </c>
      <c r="I136" s="97">
        <f>I117+I124+I128+I132+I135</f>
        <v>1375235.0666666667</v>
      </c>
    </row>
    <row r="138" spans="1:12" x14ac:dyDescent="0.25">
      <c r="G138" s="33"/>
      <c r="H138" s="33"/>
      <c r="I138" s="27"/>
    </row>
    <row r="139" spans="1:12" x14ac:dyDescent="0.25">
      <c r="B139" s="117" t="s">
        <v>99</v>
      </c>
      <c r="I139" s="26"/>
    </row>
    <row r="140" spans="1:12" ht="45" customHeight="1" x14ac:dyDescent="0.25">
      <c r="A140">
        <v>1</v>
      </c>
      <c r="B140" s="142" t="s">
        <v>100</v>
      </c>
      <c r="C140" s="142"/>
      <c r="D140" s="142"/>
      <c r="E140" s="142"/>
      <c r="F140" s="142"/>
      <c r="G140" s="142"/>
      <c r="H140" s="142"/>
      <c r="I140" s="142"/>
    </row>
    <row r="141" spans="1:12" ht="33.75" customHeight="1" x14ac:dyDescent="0.25">
      <c r="A141">
        <v>2</v>
      </c>
      <c r="B141" s="142" t="s">
        <v>112</v>
      </c>
      <c r="C141" s="142"/>
      <c r="D141" s="142"/>
      <c r="E141" s="142"/>
      <c r="F141" s="142"/>
      <c r="G141" s="142"/>
      <c r="H141" s="142"/>
      <c r="I141" s="142"/>
    </row>
    <row r="142" spans="1:12" x14ac:dyDescent="0.25">
      <c r="A142">
        <v>3</v>
      </c>
      <c r="B142" s="142" t="s">
        <v>111</v>
      </c>
      <c r="C142" s="142"/>
      <c r="D142" s="142"/>
      <c r="E142" s="142"/>
      <c r="F142" s="142"/>
      <c r="G142" s="142"/>
      <c r="H142" s="142"/>
      <c r="I142" s="142"/>
    </row>
    <row r="143" spans="1:12" x14ac:dyDescent="0.25">
      <c r="A143">
        <v>4</v>
      </c>
      <c r="B143" s="142" t="s">
        <v>101</v>
      </c>
      <c r="C143" s="142"/>
      <c r="D143" s="142"/>
      <c r="E143" s="142"/>
      <c r="F143" s="142"/>
      <c r="G143" s="142"/>
      <c r="H143" s="142"/>
      <c r="I143" s="142"/>
    </row>
    <row r="144" spans="1:12" x14ac:dyDescent="0.25">
      <c r="A144">
        <v>5</v>
      </c>
      <c r="B144" t="s">
        <v>109</v>
      </c>
    </row>
    <row r="145" spans="1:2" x14ac:dyDescent="0.25">
      <c r="A145">
        <v>6</v>
      </c>
      <c r="B145" t="s">
        <v>110</v>
      </c>
    </row>
  </sheetData>
  <sheetProtection algorithmName="SHA-512" hashValue="yejl8GmFN2bwUecAu+0eXK96lfCA6SsNCziPrtknh6KhJZefacMMjeApw1kEnEgbDEW6R40GXnlhngqoJNJ+2Q==" saltValue="gi971LG/dMMnG6BTmelmEQ==" spinCount="100000" sheet="1" objects="1" scenarios="1"/>
  <mergeCells count="15">
    <mergeCell ref="B140:I140"/>
    <mergeCell ref="B141:I141"/>
    <mergeCell ref="B143:I143"/>
    <mergeCell ref="A1:I1"/>
    <mergeCell ref="A2:I2"/>
    <mergeCell ref="A3:B3"/>
    <mergeCell ref="E28:G28"/>
    <mergeCell ref="B142:I142"/>
    <mergeCell ref="D3:H3"/>
    <mergeCell ref="K1:L2"/>
    <mergeCell ref="E55:G55"/>
    <mergeCell ref="E82:G82"/>
    <mergeCell ref="E109:G109"/>
    <mergeCell ref="E136:G136"/>
    <mergeCell ref="L14:M15"/>
  </mergeCells>
  <conditionalFormatting sqref="E4:F4 E5:E8 E9:F9 E10:E15 E16:F16 E17:E19 E20:F20 E21:E23 E24:F24 E25 E26:F27 E28 E29:F31 E32:E35 E36:F36 E37:E42 E43:F43 E44:E46 E47:F47 E48:E50 E51:F51 E52 E53:F54 E55 E56:F58 E59:E62 E63:F63 E64:E69 E70:F70 E71:E73 E74:F74 E75:E77 E78:F78 E79 E80:F81 E82 E83:F85 E86:E89 E90:F90 E91:E96 E97:F97 E98:E100 E101:F101 E102:E104 E105:F105 E106 E107:F108 E109 E110:F112 E113:E116 E117:F117 E118:E123 E124:F124 E125:E127 E128:F128 E129:E131 E132:F132 E133 E134:F135 E136 E137:F139 E144:F1048576">
    <cfRule type="expression" dxfId="2" priority="1">
      <formula>IF($E:$E&lt;1,"0")</formula>
    </cfRule>
  </conditionalFormatting>
  <pageMargins left="0.7" right="0.7" top="0.75" bottom="0.75" header="0.3" footer="0.3"/>
  <pageSetup scale="41" orientation="portrait" r:id="rId1"/>
  <headerFooter>
    <oddHeader>&amp;CRFP 26-325
Temporary Staffing and Recruitment Services</oddHeader>
  </headerFooter>
  <rowBreaks count="1" manualBreakCount="1">
    <brk id="84" max="16383" man="1"/>
  </rowBreaks>
  <ignoredErrors>
    <ignoredError sqref="G63 G78 G105 G117 G132 G9 G16 G24 G36 G43 G47 G51 G70 G74 G90 G97 G101 G124 G128 G2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1EE95-EB71-4AFF-B224-2D400DB6FD91}">
  <dimension ref="A1:P117"/>
  <sheetViews>
    <sheetView zoomScaleNormal="100" workbookViewId="0">
      <selection activeCell="F6" sqref="F6"/>
    </sheetView>
  </sheetViews>
  <sheetFormatPr defaultRowHeight="15" x14ac:dyDescent="0.25"/>
  <cols>
    <col min="2" max="2" width="22.42578125" customWidth="1"/>
    <col min="3" max="3" width="14.7109375" style="5" customWidth="1"/>
    <col min="4" max="4" width="17.140625" customWidth="1"/>
    <col min="5" max="5" width="14.42578125" style="5" customWidth="1"/>
    <col min="6" max="6" width="17.5703125" style="4" customWidth="1"/>
    <col min="7" max="7" width="14.85546875" style="5" customWidth="1"/>
    <col min="8" max="8" width="17.85546875" style="4" customWidth="1"/>
    <col min="9" max="9" width="14.42578125" style="5" customWidth="1"/>
    <col min="10" max="10" width="17.5703125" style="5" customWidth="1"/>
    <col min="11" max="11" width="14.140625" style="5" customWidth="1"/>
    <col min="12" max="12" width="17.28515625" style="12" customWidth="1"/>
    <col min="13" max="13" width="4" customWidth="1"/>
    <col min="14" max="14" width="9.5703125" customWidth="1"/>
    <col min="15" max="15" width="20.140625" customWidth="1"/>
    <col min="16" max="16" width="14.28515625" bestFit="1" customWidth="1"/>
  </cols>
  <sheetData>
    <row r="1" spans="1:16" ht="15.75" x14ac:dyDescent="0.25">
      <c r="B1" s="143" t="s">
        <v>55</v>
      </c>
      <c r="C1" s="143"/>
      <c r="D1" s="143"/>
      <c r="E1" s="143"/>
      <c r="F1" s="143"/>
      <c r="G1" s="143"/>
      <c r="H1" s="143"/>
      <c r="I1" s="143"/>
      <c r="J1" s="143"/>
      <c r="K1" s="143"/>
      <c r="L1" s="143"/>
      <c r="N1" s="139" t="s">
        <v>73</v>
      </c>
      <c r="O1" s="139"/>
    </row>
    <row r="2" spans="1:16" ht="15.75" x14ac:dyDescent="0.25">
      <c r="B2" s="143" t="s">
        <v>56</v>
      </c>
      <c r="C2" s="143"/>
      <c r="D2" s="143"/>
      <c r="E2" s="143"/>
      <c r="F2" s="143"/>
      <c r="G2" s="143"/>
      <c r="H2" s="143"/>
      <c r="I2" s="143"/>
      <c r="J2" s="143"/>
      <c r="K2" s="143"/>
      <c r="L2" s="143"/>
      <c r="N2" s="139"/>
      <c r="O2" s="139"/>
    </row>
    <row r="3" spans="1:16" ht="15.75" x14ac:dyDescent="0.25">
      <c r="A3" s="145" t="s">
        <v>57</v>
      </c>
      <c r="B3" s="145"/>
      <c r="C3" s="65"/>
      <c r="D3" s="50"/>
      <c r="E3" s="65"/>
      <c r="F3" s="50"/>
      <c r="G3" s="65"/>
      <c r="H3" s="72"/>
      <c r="I3" s="65"/>
      <c r="J3" s="50"/>
      <c r="K3" s="65"/>
    </row>
    <row r="4" spans="1:16" ht="48" customHeight="1" x14ac:dyDescent="0.25">
      <c r="A4" s="58" t="s">
        <v>58</v>
      </c>
      <c r="B4" s="64" t="s">
        <v>66</v>
      </c>
      <c r="C4" s="66" t="s">
        <v>67</v>
      </c>
      <c r="D4" s="59" t="s">
        <v>27</v>
      </c>
      <c r="E4" s="66" t="s">
        <v>68</v>
      </c>
      <c r="F4" s="59" t="s">
        <v>27</v>
      </c>
      <c r="G4" s="66" t="s">
        <v>69</v>
      </c>
      <c r="H4" s="73" t="s">
        <v>27</v>
      </c>
      <c r="I4" s="66" t="s">
        <v>70</v>
      </c>
      <c r="J4" s="59" t="s">
        <v>27</v>
      </c>
      <c r="K4" s="66" t="s">
        <v>71</v>
      </c>
      <c r="L4" s="75" t="s">
        <v>27</v>
      </c>
      <c r="O4" s="60" t="s">
        <v>97</v>
      </c>
    </row>
    <row r="5" spans="1:16" ht="15.75" x14ac:dyDescent="0.25">
      <c r="A5" s="53" t="s">
        <v>79</v>
      </c>
      <c r="B5" s="63">
        <v>100000</v>
      </c>
      <c r="C5" s="94">
        <v>0</v>
      </c>
      <c r="D5" s="74">
        <f>B5*C5</f>
        <v>0</v>
      </c>
      <c r="E5" s="94">
        <v>0</v>
      </c>
      <c r="F5" s="54">
        <f>B5*E5</f>
        <v>0</v>
      </c>
      <c r="G5" s="94">
        <v>0</v>
      </c>
      <c r="H5" s="54">
        <f>B5*G5</f>
        <v>0</v>
      </c>
      <c r="I5" s="94">
        <v>0</v>
      </c>
      <c r="J5" s="54">
        <f>B5*I5</f>
        <v>0</v>
      </c>
      <c r="K5" s="94">
        <v>0</v>
      </c>
      <c r="L5" s="76">
        <f>B5*K5</f>
        <v>0</v>
      </c>
      <c r="M5" s="14"/>
      <c r="N5" s="14" t="s">
        <v>35</v>
      </c>
      <c r="O5" s="12">
        <f>D5+D6+D7+D8</f>
        <v>0</v>
      </c>
    </row>
    <row r="6" spans="1:16" ht="15.75" x14ac:dyDescent="0.25">
      <c r="A6" s="53">
        <v>2</v>
      </c>
      <c r="B6" s="63">
        <v>150000</v>
      </c>
      <c r="C6" s="94">
        <v>0</v>
      </c>
      <c r="D6" s="74">
        <f>B6*C6</f>
        <v>0</v>
      </c>
      <c r="E6" s="94">
        <v>0</v>
      </c>
      <c r="F6" s="54">
        <f t="shared" ref="F6:F8" si="0">B6*E6</f>
        <v>0</v>
      </c>
      <c r="G6" s="94">
        <v>0</v>
      </c>
      <c r="H6" s="54">
        <f t="shared" ref="H6:H8" si="1">B6*G6</f>
        <v>0</v>
      </c>
      <c r="I6" s="94">
        <v>0</v>
      </c>
      <c r="J6" s="54">
        <f t="shared" ref="J6:J8" si="2">B6*I6</f>
        <v>0</v>
      </c>
      <c r="K6" s="94">
        <v>0</v>
      </c>
      <c r="L6" s="76">
        <f t="shared" ref="L6:L8" si="3">B6*K6</f>
        <v>0</v>
      </c>
      <c r="M6" s="14"/>
      <c r="N6" s="14" t="s">
        <v>36</v>
      </c>
      <c r="O6" s="12">
        <f>F5+F6+F7+F8</f>
        <v>0</v>
      </c>
    </row>
    <row r="7" spans="1:16" ht="15.75" x14ac:dyDescent="0.25">
      <c r="A7" s="53">
        <v>3</v>
      </c>
      <c r="B7" s="63">
        <v>200000</v>
      </c>
      <c r="C7" s="94">
        <v>0</v>
      </c>
      <c r="D7" s="74">
        <f>B7*C7</f>
        <v>0</v>
      </c>
      <c r="E7" s="94">
        <v>0</v>
      </c>
      <c r="F7" s="54">
        <f>B7*E7</f>
        <v>0</v>
      </c>
      <c r="G7" s="94">
        <v>0</v>
      </c>
      <c r="H7" s="54">
        <f t="shared" si="1"/>
        <v>0</v>
      </c>
      <c r="I7" s="94">
        <v>0</v>
      </c>
      <c r="J7" s="54">
        <f t="shared" si="2"/>
        <v>0</v>
      </c>
      <c r="K7" s="94">
        <v>0</v>
      </c>
      <c r="L7" s="76">
        <f t="shared" si="3"/>
        <v>0</v>
      </c>
      <c r="M7" s="14"/>
      <c r="N7" s="14" t="s">
        <v>37</v>
      </c>
      <c r="O7" s="12">
        <f>H5+H6+H7+H8</f>
        <v>0</v>
      </c>
    </row>
    <row r="8" spans="1:16" ht="15.75" x14ac:dyDescent="0.25">
      <c r="A8" s="53" t="s">
        <v>80</v>
      </c>
      <c r="B8" s="63">
        <v>250000</v>
      </c>
      <c r="C8" s="94">
        <v>0</v>
      </c>
      <c r="D8" s="74">
        <f>B8*C8</f>
        <v>0</v>
      </c>
      <c r="E8" s="94">
        <v>0</v>
      </c>
      <c r="F8" s="54">
        <f t="shared" si="0"/>
        <v>0</v>
      </c>
      <c r="G8" s="94">
        <v>0</v>
      </c>
      <c r="H8" s="54">
        <f t="shared" si="1"/>
        <v>0</v>
      </c>
      <c r="I8" s="94">
        <v>0</v>
      </c>
      <c r="J8" s="54">
        <f t="shared" si="2"/>
        <v>0</v>
      </c>
      <c r="K8" s="94">
        <v>0</v>
      </c>
      <c r="L8" s="76">
        <f t="shared" si="3"/>
        <v>0</v>
      </c>
      <c r="M8" s="14"/>
      <c r="N8" s="14" t="s">
        <v>38</v>
      </c>
      <c r="O8" s="12">
        <f>J5+J6+J7+J8</f>
        <v>0</v>
      </c>
    </row>
    <row r="9" spans="1:16" s="125" customFormat="1" ht="15.75" x14ac:dyDescent="0.25">
      <c r="A9" s="120"/>
      <c r="B9" s="121" t="s">
        <v>84</v>
      </c>
      <c r="C9" s="122" t="s">
        <v>59</v>
      </c>
      <c r="D9" s="123">
        <f>SUM(D5:D8)</f>
        <v>0</v>
      </c>
      <c r="E9" s="122" t="s">
        <v>60</v>
      </c>
      <c r="F9" s="124">
        <f>SUM(F5:F8)</f>
        <v>0</v>
      </c>
      <c r="G9" s="122" t="s">
        <v>61</v>
      </c>
      <c r="H9" s="124">
        <f>SUM(H5:H8)</f>
        <v>0</v>
      </c>
      <c r="I9" s="122" t="s">
        <v>62</v>
      </c>
      <c r="J9" s="124">
        <f>SUM(J5:J8)</f>
        <v>0</v>
      </c>
      <c r="K9" s="122" t="s">
        <v>63</v>
      </c>
      <c r="L9" s="77">
        <f>SUM(L5:L8)</f>
        <v>0</v>
      </c>
      <c r="M9" s="120"/>
      <c r="N9" s="14" t="s">
        <v>39</v>
      </c>
      <c r="O9" s="12">
        <f>L5+L6+L7+L8</f>
        <v>0</v>
      </c>
    </row>
    <row r="10" spans="1:16" x14ac:dyDescent="0.25">
      <c r="B10" s="3"/>
      <c r="C10" s="67"/>
      <c r="D10" s="2"/>
      <c r="J10" s="4"/>
      <c r="M10" s="14"/>
      <c r="O10" s="13"/>
    </row>
    <row r="11" spans="1:16" ht="18.75" customHeight="1" x14ac:dyDescent="0.3">
      <c r="A11" s="81"/>
      <c r="B11" s="91" t="s">
        <v>78</v>
      </c>
      <c r="C11" s="90"/>
      <c r="D11" s="90"/>
      <c r="E11" s="67"/>
      <c r="F11" s="83"/>
      <c r="G11" s="67"/>
      <c r="J11" s="4"/>
      <c r="O11" s="12">
        <f>SUM(O5:O10)</f>
        <v>0</v>
      </c>
    </row>
    <row r="12" spans="1:16" ht="18.75" x14ac:dyDescent="0.3">
      <c r="A12" s="81"/>
      <c r="B12" s="146" t="s">
        <v>81</v>
      </c>
      <c r="C12" s="146"/>
      <c r="D12" s="146"/>
      <c r="E12" s="146"/>
      <c r="F12" s="146"/>
      <c r="G12" s="146"/>
      <c r="H12" s="146"/>
      <c r="I12" s="146"/>
      <c r="J12" s="146"/>
      <c r="K12" s="146"/>
    </row>
    <row r="13" spans="1:16" ht="18.75" x14ac:dyDescent="0.3">
      <c r="A13" s="81"/>
      <c r="B13" s="81" t="s">
        <v>82</v>
      </c>
      <c r="C13" s="80"/>
      <c r="D13" s="81"/>
      <c r="E13" s="69"/>
      <c r="F13" s="84"/>
      <c r="G13" s="69"/>
      <c r="H13" s="23"/>
      <c r="I13" s="16"/>
      <c r="J13" s="16"/>
      <c r="K13" s="16"/>
    </row>
    <row r="14" spans="1:16" ht="18.75" x14ac:dyDescent="0.3">
      <c r="A14" s="81" t="s">
        <v>76</v>
      </c>
      <c r="B14" s="81" t="s">
        <v>75</v>
      </c>
      <c r="C14" s="85"/>
      <c r="D14" s="86"/>
      <c r="E14" s="87"/>
      <c r="F14" s="88"/>
      <c r="G14" s="87"/>
      <c r="H14" s="22"/>
      <c r="I14" s="48"/>
      <c r="J14" s="48"/>
      <c r="K14" s="48"/>
      <c r="M14" s="50"/>
      <c r="N14" s="50"/>
      <c r="O14" s="50"/>
      <c r="P14" s="50"/>
    </row>
    <row r="15" spans="1:16" ht="18.75" x14ac:dyDescent="0.3">
      <c r="A15" s="81" t="s">
        <v>74</v>
      </c>
      <c r="B15" s="81" t="s">
        <v>77</v>
      </c>
      <c r="C15" s="80"/>
      <c r="D15" s="81"/>
      <c r="E15" s="89"/>
      <c r="F15" s="78"/>
      <c r="G15" s="89"/>
      <c r="H15" s="72"/>
      <c r="I15" s="65"/>
      <c r="J15" s="50"/>
      <c r="K15" s="65"/>
      <c r="L15" s="77"/>
      <c r="N15" s="12"/>
    </row>
    <row r="16" spans="1:16" ht="18.75" x14ac:dyDescent="0.3">
      <c r="A16" s="79"/>
      <c r="B16" s="79"/>
      <c r="C16" s="82"/>
      <c r="D16" s="79"/>
      <c r="M16" s="1"/>
      <c r="N16" s="12"/>
    </row>
    <row r="17" spans="2:15" ht="15.75" x14ac:dyDescent="0.25">
      <c r="C17" s="65"/>
      <c r="D17" s="50"/>
      <c r="E17" s="16"/>
      <c r="F17" s="23"/>
      <c r="G17" s="16"/>
      <c r="H17" s="23"/>
      <c r="I17" s="16"/>
      <c r="J17" s="23"/>
      <c r="K17" s="16"/>
      <c r="L17" s="62"/>
    </row>
    <row r="18" spans="2:15" x14ac:dyDescent="0.25">
      <c r="B18" s="3"/>
      <c r="C18" s="69"/>
      <c r="D18" s="2"/>
      <c r="E18" s="16"/>
      <c r="F18" s="23"/>
      <c r="G18" s="16"/>
      <c r="H18" s="23"/>
      <c r="I18" s="16"/>
      <c r="J18" s="23"/>
      <c r="K18" s="16"/>
      <c r="N18" s="12"/>
    </row>
    <row r="19" spans="2:15" x14ac:dyDescent="0.25">
      <c r="B19" s="3"/>
      <c r="C19" s="69"/>
      <c r="D19" s="2"/>
      <c r="E19" s="16"/>
      <c r="F19" s="23"/>
      <c r="G19" s="16"/>
      <c r="H19" s="23"/>
      <c r="I19" s="16"/>
      <c r="J19" s="23"/>
      <c r="K19" s="16"/>
      <c r="N19" s="12"/>
      <c r="O19" s="24"/>
    </row>
    <row r="20" spans="2:15" x14ac:dyDescent="0.25">
      <c r="B20" s="3"/>
      <c r="C20" s="69"/>
      <c r="D20" s="2"/>
      <c r="E20" s="16"/>
      <c r="F20" s="23"/>
      <c r="G20" s="16"/>
      <c r="H20" s="23"/>
      <c r="I20" s="16"/>
      <c r="J20" s="16"/>
      <c r="K20" s="16"/>
      <c r="N20" s="12"/>
      <c r="O20" s="24"/>
    </row>
    <row r="21" spans="2:15" x14ac:dyDescent="0.25">
      <c r="B21" s="3"/>
      <c r="C21" s="69"/>
      <c r="D21" s="2"/>
      <c r="E21" s="16"/>
      <c r="F21" s="23"/>
      <c r="G21" s="16"/>
      <c r="H21" s="23"/>
      <c r="I21" s="16"/>
      <c r="J21" s="23"/>
      <c r="K21" s="16"/>
      <c r="N21" s="12"/>
    </row>
    <row r="22" spans="2:15" x14ac:dyDescent="0.25">
      <c r="B22" s="3"/>
      <c r="C22" s="69"/>
      <c r="D22" s="2"/>
      <c r="E22" s="16"/>
      <c r="F22" s="23"/>
      <c r="G22" s="16"/>
      <c r="H22" s="23"/>
      <c r="I22" s="16"/>
      <c r="J22" s="23"/>
      <c r="K22" s="16"/>
      <c r="N22" s="12"/>
    </row>
    <row r="23" spans="2:15" x14ac:dyDescent="0.25">
      <c r="B23" s="3"/>
      <c r="C23" s="69"/>
      <c r="D23" s="2"/>
      <c r="E23" s="16"/>
      <c r="F23" s="23"/>
      <c r="G23" s="16"/>
      <c r="H23" s="23"/>
      <c r="I23" s="16"/>
      <c r="J23" s="23"/>
      <c r="K23" s="16"/>
      <c r="N23" s="12"/>
    </row>
    <row r="24" spans="2:15" x14ac:dyDescent="0.25">
      <c r="B24" s="3"/>
      <c r="C24" s="69"/>
      <c r="D24" s="2"/>
      <c r="E24" s="16"/>
      <c r="F24" s="23"/>
      <c r="G24" s="16"/>
      <c r="H24" s="23"/>
      <c r="I24" s="16"/>
      <c r="J24" s="23"/>
      <c r="K24" s="16"/>
      <c r="N24" s="12"/>
    </row>
    <row r="25" spans="2:15" x14ac:dyDescent="0.25">
      <c r="B25" s="3"/>
      <c r="C25" s="69"/>
      <c r="D25" s="2"/>
      <c r="E25" s="16"/>
      <c r="F25" s="23"/>
      <c r="G25" s="16"/>
      <c r="H25" s="23"/>
      <c r="I25" s="16"/>
      <c r="J25" s="23"/>
      <c r="K25" s="16"/>
      <c r="N25" s="12"/>
    </row>
    <row r="26" spans="2:15" x14ac:dyDescent="0.25">
      <c r="B26" s="3"/>
      <c r="C26" s="69"/>
      <c r="D26" s="2"/>
      <c r="E26" s="16"/>
      <c r="F26" s="23"/>
      <c r="G26" s="16"/>
      <c r="H26" s="23"/>
      <c r="I26" s="16"/>
      <c r="J26" s="23"/>
      <c r="K26" s="16"/>
    </row>
    <row r="27" spans="2:15" x14ac:dyDescent="0.25">
      <c r="B27" s="3"/>
      <c r="C27" s="69"/>
      <c r="D27" s="2"/>
      <c r="E27" s="16"/>
      <c r="F27" s="23"/>
      <c r="G27" s="16"/>
      <c r="H27" s="23"/>
      <c r="I27" s="16"/>
      <c r="J27" s="16"/>
      <c r="K27" s="16"/>
    </row>
    <row r="28" spans="2:15" x14ac:dyDescent="0.25">
      <c r="B28" s="3"/>
      <c r="C28" s="69"/>
      <c r="D28" s="2"/>
      <c r="E28" s="16"/>
      <c r="F28" s="23"/>
      <c r="G28" s="16"/>
      <c r="H28" s="23"/>
      <c r="I28" s="16"/>
      <c r="J28" s="23"/>
      <c r="K28" s="16"/>
    </row>
    <row r="29" spans="2:15" x14ac:dyDescent="0.25">
      <c r="B29" s="3"/>
      <c r="C29" s="69"/>
      <c r="D29" s="2"/>
      <c r="E29" s="16"/>
      <c r="F29" s="23"/>
      <c r="G29" s="16"/>
      <c r="H29" s="23"/>
      <c r="I29" s="16"/>
      <c r="J29" s="16"/>
      <c r="K29" s="16"/>
    </row>
    <row r="30" spans="2:15" x14ac:dyDescent="0.25">
      <c r="B30" s="3"/>
      <c r="C30" s="69"/>
      <c r="D30" s="2"/>
      <c r="E30" s="16"/>
      <c r="F30" s="23"/>
      <c r="G30" s="16"/>
      <c r="H30" s="23"/>
      <c r="I30" s="16"/>
      <c r="J30" s="16"/>
      <c r="K30" s="16"/>
    </row>
    <row r="31" spans="2:15" x14ac:dyDescent="0.25">
      <c r="B31" s="3"/>
      <c r="C31" s="69"/>
      <c r="D31" s="2"/>
      <c r="E31" s="16"/>
      <c r="F31" s="23"/>
      <c r="G31" s="16"/>
      <c r="H31" s="23"/>
      <c r="I31" s="16"/>
      <c r="J31" s="23"/>
      <c r="K31" s="16"/>
    </row>
    <row r="32" spans="2:15" x14ac:dyDescent="0.25">
      <c r="B32" s="3"/>
      <c r="C32" s="69"/>
      <c r="D32" s="2"/>
      <c r="E32" s="16"/>
      <c r="F32" s="23"/>
      <c r="G32" s="16"/>
      <c r="H32" s="23"/>
      <c r="I32" s="16"/>
      <c r="J32" s="23"/>
      <c r="K32" s="16"/>
      <c r="N32" s="12"/>
    </row>
    <row r="33" spans="1:16" x14ac:dyDescent="0.25">
      <c r="B33" s="3"/>
      <c r="C33" s="69"/>
      <c r="D33" s="2"/>
      <c r="E33" s="16"/>
      <c r="F33" s="23"/>
      <c r="G33" s="16"/>
      <c r="H33" s="23"/>
      <c r="I33" s="16"/>
      <c r="J33" s="23"/>
      <c r="K33" s="16"/>
      <c r="N33" s="12"/>
    </row>
    <row r="34" spans="1:16" x14ac:dyDescent="0.25">
      <c r="B34" s="3"/>
      <c r="C34" s="69"/>
      <c r="D34" s="2"/>
      <c r="E34" s="16"/>
      <c r="F34" s="23"/>
      <c r="G34" s="16"/>
      <c r="H34" s="23"/>
      <c r="I34" s="16"/>
      <c r="J34" s="16"/>
      <c r="K34" s="16"/>
      <c r="P34" s="12"/>
    </row>
    <row r="35" spans="1:16" x14ac:dyDescent="0.25">
      <c r="B35" s="3"/>
      <c r="C35" s="69"/>
      <c r="D35" s="2"/>
      <c r="E35" s="16"/>
      <c r="F35" s="23"/>
      <c r="G35" s="16"/>
      <c r="H35" s="23"/>
      <c r="I35" s="16"/>
      <c r="J35" s="23"/>
      <c r="K35" s="16"/>
      <c r="P35" s="12"/>
    </row>
    <row r="36" spans="1:16" x14ac:dyDescent="0.25">
      <c r="C36" s="16"/>
      <c r="E36" s="16"/>
      <c r="F36" s="23"/>
      <c r="G36" s="16"/>
      <c r="H36" s="23"/>
      <c r="I36" s="16"/>
      <c r="J36" s="16"/>
      <c r="K36" s="16"/>
      <c r="P36" s="12"/>
    </row>
    <row r="37" spans="1:16" x14ac:dyDescent="0.25">
      <c r="C37" s="16"/>
      <c r="E37" s="16"/>
      <c r="F37" s="23"/>
      <c r="G37" s="144"/>
      <c r="H37" s="144"/>
      <c r="I37" s="144"/>
      <c r="J37" s="144"/>
      <c r="K37" s="144"/>
      <c r="P37" s="12"/>
    </row>
    <row r="38" spans="1:16" x14ac:dyDescent="0.25">
      <c r="C38" s="16"/>
      <c r="E38" s="16"/>
      <c r="F38" s="23"/>
      <c r="G38" s="16"/>
      <c r="H38" s="23"/>
      <c r="I38" s="16"/>
      <c r="J38" s="16"/>
      <c r="K38" s="16"/>
      <c r="P38" s="12"/>
    </row>
    <row r="39" spans="1:16" x14ac:dyDescent="0.25">
      <c r="C39" s="16"/>
      <c r="E39" s="16"/>
      <c r="F39" s="23"/>
      <c r="G39" s="16"/>
      <c r="H39" s="23"/>
      <c r="I39" s="16"/>
      <c r="J39" s="16"/>
      <c r="K39" s="16"/>
      <c r="P39" s="12"/>
    </row>
    <row r="40" spans="1:16" ht="15.75" x14ac:dyDescent="0.25">
      <c r="A40" s="47"/>
      <c r="B40" s="47"/>
      <c r="C40" s="68"/>
      <c r="D40" s="47"/>
      <c r="E40" s="48"/>
      <c r="F40" s="22"/>
      <c r="G40" s="48"/>
      <c r="H40" s="22"/>
      <c r="I40" s="48"/>
      <c r="J40" s="48"/>
      <c r="K40" s="48"/>
    </row>
    <row r="41" spans="1:16" x14ac:dyDescent="0.25">
      <c r="B41" s="3"/>
      <c r="C41" s="69"/>
      <c r="D41" s="2"/>
      <c r="E41" s="16"/>
      <c r="F41" s="23"/>
      <c r="G41" s="16"/>
      <c r="H41" s="23"/>
      <c r="I41" s="16"/>
      <c r="J41" s="23"/>
      <c r="K41" s="16"/>
    </row>
    <row r="42" spans="1:16" x14ac:dyDescent="0.25">
      <c r="B42" s="3"/>
      <c r="C42" s="69"/>
      <c r="D42" s="2"/>
      <c r="E42" s="16"/>
      <c r="F42" s="23"/>
      <c r="G42" s="16"/>
      <c r="H42" s="23"/>
      <c r="I42" s="16"/>
      <c r="J42" s="23"/>
      <c r="K42" s="16"/>
    </row>
    <row r="43" spans="1:16" x14ac:dyDescent="0.25">
      <c r="B43" s="3"/>
      <c r="C43" s="69"/>
      <c r="D43" s="2"/>
      <c r="E43" s="16"/>
      <c r="F43" s="23"/>
      <c r="G43" s="16"/>
      <c r="H43" s="23"/>
      <c r="I43" s="16"/>
      <c r="J43" s="23"/>
      <c r="K43" s="16"/>
    </row>
    <row r="44" spans="1:16" x14ac:dyDescent="0.25">
      <c r="B44" s="3"/>
      <c r="C44" s="69"/>
      <c r="D44" s="2"/>
      <c r="E44" s="16"/>
      <c r="F44" s="23"/>
      <c r="G44" s="16"/>
      <c r="H44" s="23"/>
      <c r="I44" s="16"/>
      <c r="J44" s="23"/>
      <c r="K44" s="16"/>
    </row>
    <row r="45" spans="1:16" x14ac:dyDescent="0.25">
      <c r="B45" s="3"/>
      <c r="C45" s="69"/>
      <c r="D45" s="2"/>
      <c r="E45" s="16"/>
      <c r="F45" s="23"/>
      <c r="G45" s="16"/>
      <c r="H45" s="23"/>
      <c r="I45" s="16"/>
      <c r="J45" s="23"/>
      <c r="K45" s="16"/>
    </row>
    <row r="46" spans="1:16" x14ac:dyDescent="0.25">
      <c r="B46" s="3"/>
      <c r="C46" s="69"/>
      <c r="D46" s="2"/>
      <c r="E46" s="16"/>
      <c r="F46" s="23"/>
      <c r="G46" s="16"/>
      <c r="H46" s="23"/>
      <c r="I46" s="16"/>
      <c r="J46" s="16"/>
      <c r="K46" s="16"/>
    </row>
    <row r="47" spans="1:16" x14ac:dyDescent="0.25">
      <c r="B47" s="3"/>
      <c r="C47" s="69"/>
      <c r="D47" s="2"/>
      <c r="E47" s="16"/>
      <c r="F47" s="23"/>
      <c r="G47" s="16"/>
      <c r="H47" s="23"/>
      <c r="I47" s="16"/>
      <c r="J47" s="23"/>
      <c r="K47" s="16"/>
    </row>
    <row r="48" spans="1:16" x14ac:dyDescent="0.25">
      <c r="B48" s="3"/>
      <c r="C48" s="69"/>
      <c r="D48" s="2"/>
      <c r="E48" s="16"/>
      <c r="F48" s="23"/>
      <c r="G48" s="16"/>
      <c r="H48" s="23"/>
      <c r="I48" s="16"/>
      <c r="J48" s="23"/>
      <c r="K48" s="16"/>
    </row>
    <row r="49" spans="2:11" x14ac:dyDescent="0.25">
      <c r="B49" s="3"/>
      <c r="C49" s="69"/>
      <c r="D49" s="2"/>
      <c r="E49" s="16"/>
      <c r="F49" s="23"/>
      <c r="G49" s="16"/>
      <c r="H49" s="23"/>
      <c r="I49" s="16"/>
      <c r="J49" s="23"/>
      <c r="K49" s="16"/>
    </row>
    <row r="50" spans="2:11" x14ac:dyDescent="0.25">
      <c r="B50" s="3"/>
      <c r="C50" s="69"/>
      <c r="D50" s="2"/>
      <c r="E50" s="16"/>
      <c r="F50" s="23"/>
      <c r="G50" s="16"/>
      <c r="H50" s="23"/>
      <c r="I50" s="16"/>
      <c r="J50" s="23"/>
      <c r="K50" s="16"/>
    </row>
    <row r="51" spans="2:11" x14ac:dyDescent="0.25">
      <c r="B51" s="3"/>
      <c r="C51" s="69"/>
      <c r="D51" s="2"/>
      <c r="E51" s="16"/>
      <c r="F51" s="23"/>
      <c r="G51" s="16"/>
      <c r="H51" s="23"/>
      <c r="I51" s="16"/>
      <c r="J51" s="23"/>
      <c r="K51" s="16"/>
    </row>
    <row r="52" spans="2:11" x14ac:dyDescent="0.25">
      <c r="B52" s="3"/>
      <c r="C52" s="69"/>
      <c r="D52" s="2"/>
      <c r="E52" s="16"/>
      <c r="F52" s="23"/>
      <c r="G52" s="16"/>
      <c r="H52" s="23"/>
      <c r="I52" s="16"/>
      <c r="J52" s="23"/>
      <c r="K52" s="16"/>
    </row>
    <row r="53" spans="2:11" x14ac:dyDescent="0.25">
      <c r="B53" s="3"/>
      <c r="C53" s="69"/>
      <c r="D53" s="2"/>
      <c r="E53" s="16"/>
      <c r="F53" s="23"/>
      <c r="G53" s="16"/>
      <c r="H53" s="23"/>
      <c r="I53" s="16"/>
      <c r="J53" s="16"/>
      <c r="K53" s="16"/>
    </row>
    <row r="54" spans="2:11" x14ac:dyDescent="0.25">
      <c r="B54" s="3"/>
      <c r="C54" s="69"/>
      <c r="D54" s="2"/>
      <c r="E54" s="16"/>
      <c r="F54" s="23"/>
      <c r="G54" s="16"/>
      <c r="H54" s="23"/>
      <c r="I54" s="16"/>
      <c r="J54" s="23"/>
      <c r="K54" s="16"/>
    </row>
    <row r="55" spans="2:11" x14ac:dyDescent="0.25">
      <c r="B55" s="3"/>
      <c r="C55" s="69"/>
      <c r="D55" s="2"/>
      <c r="E55" s="16"/>
      <c r="F55" s="23"/>
      <c r="G55" s="16"/>
      <c r="H55" s="23"/>
      <c r="I55" s="16"/>
      <c r="J55" s="16"/>
      <c r="K55" s="16"/>
    </row>
    <row r="56" spans="2:11" x14ac:dyDescent="0.25">
      <c r="B56" s="3"/>
      <c r="C56" s="69"/>
      <c r="D56" s="2"/>
      <c r="E56" s="16"/>
      <c r="F56" s="23"/>
      <c r="G56" s="16"/>
      <c r="H56" s="23"/>
      <c r="I56" s="16"/>
      <c r="J56" s="16"/>
      <c r="K56" s="16"/>
    </row>
    <row r="57" spans="2:11" x14ac:dyDescent="0.25">
      <c r="B57" s="3"/>
      <c r="C57" s="69"/>
      <c r="D57" s="2"/>
      <c r="E57" s="16"/>
      <c r="F57" s="23"/>
      <c r="G57" s="16"/>
      <c r="H57" s="23"/>
      <c r="I57" s="16"/>
      <c r="J57" s="23"/>
      <c r="K57" s="16"/>
    </row>
    <row r="58" spans="2:11" x14ac:dyDescent="0.25">
      <c r="B58" s="3"/>
      <c r="C58" s="69"/>
      <c r="D58" s="2"/>
      <c r="E58" s="16"/>
      <c r="F58" s="23"/>
      <c r="G58" s="16"/>
      <c r="H58" s="23"/>
      <c r="I58" s="16"/>
      <c r="J58" s="23"/>
      <c r="K58" s="16"/>
    </row>
    <row r="59" spans="2:11" x14ac:dyDescent="0.25">
      <c r="B59" s="3"/>
      <c r="C59" s="69"/>
      <c r="D59" s="2"/>
      <c r="E59" s="16"/>
      <c r="F59" s="23"/>
      <c r="G59" s="16"/>
      <c r="H59" s="23"/>
      <c r="I59" s="16"/>
      <c r="J59" s="23"/>
      <c r="K59" s="16"/>
    </row>
    <row r="60" spans="2:11" x14ac:dyDescent="0.25">
      <c r="B60" s="3"/>
      <c r="C60" s="69"/>
      <c r="D60" s="2"/>
      <c r="E60" s="16"/>
      <c r="F60" s="23"/>
      <c r="G60" s="16"/>
      <c r="H60" s="23"/>
      <c r="I60" s="16"/>
      <c r="J60" s="16"/>
      <c r="K60" s="16"/>
    </row>
    <row r="61" spans="2:11" x14ac:dyDescent="0.25">
      <c r="B61" s="3"/>
      <c r="C61" s="69"/>
      <c r="D61" s="2"/>
      <c r="E61" s="16"/>
      <c r="F61" s="23"/>
      <c r="G61" s="16"/>
      <c r="H61" s="23"/>
      <c r="I61" s="16"/>
      <c r="J61" s="23"/>
      <c r="K61" s="16"/>
    </row>
    <row r="62" spans="2:11" x14ac:dyDescent="0.25">
      <c r="C62" s="16"/>
      <c r="E62" s="16"/>
      <c r="F62" s="23"/>
      <c r="G62" s="16"/>
      <c r="H62" s="23"/>
      <c r="I62" s="16"/>
      <c r="J62" s="16"/>
      <c r="K62" s="16"/>
    </row>
    <row r="63" spans="2:11" x14ac:dyDescent="0.25">
      <c r="C63" s="16"/>
      <c r="E63" s="16"/>
      <c r="F63" s="23"/>
      <c r="G63" s="144"/>
      <c r="H63" s="144"/>
      <c r="I63" s="144"/>
      <c r="J63" s="144"/>
      <c r="K63" s="144"/>
    </row>
    <row r="64" spans="2:11" x14ac:dyDescent="0.25">
      <c r="C64" s="16"/>
      <c r="E64" s="16"/>
      <c r="F64" s="23"/>
      <c r="G64" s="16"/>
      <c r="H64" s="23"/>
      <c r="I64" s="16"/>
      <c r="J64" s="16"/>
      <c r="K64" s="16"/>
    </row>
    <row r="65" spans="1:11" x14ac:dyDescent="0.25">
      <c r="C65" s="16"/>
      <c r="E65" s="16"/>
      <c r="F65" s="23"/>
      <c r="G65" s="16"/>
      <c r="H65" s="23"/>
      <c r="I65" s="16"/>
      <c r="J65" s="16"/>
      <c r="K65" s="16"/>
    </row>
    <row r="66" spans="1:11" ht="15.75" x14ac:dyDescent="0.25">
      <c r="A66" s="47"/>
      <c r="B66" s="47"/>
      <c r="C66" s="68"/>
      <c r="D66" s="47"/>
      <c r="E66" s="48"/>
      <c r="F66" s="22"/>
      <c r="G66" s="48"/>
      <c r="H66" s="22"/>
      <c r="I66" s="48"/>
      <c r="J66" s="48"/>
      <c r="K66" s="48"/>
    </row>
    <row r="67" spans="1:11" x14ac:dyDescent="0.25">
      <c r="B67" s="3"/>
      <c r="C67" s="69"/>
      <c r="D67" s="2"/>
      <c r="E67" s="16"/>
      <c r="F67" s="23"/>
      <c r="G67" s="16"/>
      <c r="H67" s="23"/>
      <c r="I67" s="16"/>
      <c r="J67" s="23"/>
      <c r="K67" s="16"/>
    </row>
    <row r="68" spans="1:11" x14ac:dyDescent="0.25">
      <c r="B68" s="3"/>
      <c r="C68" s="69"/>
      <c r="D68" s="2"/>
      <c r="E68" s="16"/>
      <c r="F68" s="23"/>
      <c r="G68" s="16"/>
      <c r="H68" s="23"/>
      <c r="I68" s="16"/>
      <c r="J68" s="23"/>
      <c r="K68" s="16"/>
    </row>
    <row r="69" spans="1:11" x14ac:dyDescent="0.25">
      <c r="B69" s="3"/>
      <c r="C69" s="69"/>
      <c r="D69" s="2"/>
      <c r="E69" s="16"/>
      <c r="F69" s="23"/>
      <c r="G69" s="16"/>
      <c r="H69" s="23"/>
      <c r="I69" s="16"/>
      <c r="J69" s="23"/>
      <c r="K69" s="16"/>
    </row>
    <row r="70" spans="1:11" x14ac:dyDescent="0.25">
      <c r="B70" s="3"/>
      <c r="C70" s="69"/>
      <c r="D70" s="2"/>
      <c r="E70" s="16"/>
      <c r="F70" s="23"/>
      <c r="G70" s="16"/>
      <c r="H70" s="23"/>
      <c r="I70" s="16"/>
      <c r="J70" s="23"/>
      <c r="K70" s="16"/>
    </row>
    <row r="71" spans="1:11" x14ac:dyDescent="0.25">
      <c r="B71" s="3"/>
      <c r="C71" s="69"/>
      <c r="D71" s="2"/>
      <c r="E71" s="16"/>
      <c r="F71" s="23"/>
      <c r="G71" s="16"/>
      <c r="H71" s="23"/>
      <c r="I71" s="16"/>
      <c r="J71" s="23"/>
      <c r="K71" s="16"/>
    </row>
    <row r="72" spans="1:11" x14ac:dyDescent="0.25">
      <c r="B72" s="3"/>
      <c r="C72" s="69"/>
      <c r="D72" s="2"/>
      <c r="E72" s="16"/>
      <c r="F72" s="23"/>
      <c r="G72" s="16"/>
      <c r="H72" s="23"/>
      <c r="I72" s="16"/>
      <c r="J72" s="16"/>
      <c r="K72" s="16"/>
    </row>
    <row r="73" spans="1:11" x14ac:dyDescent="0.25">
      <c r="B73" s="3"/>
      <c r="C73" s="69"/>
      <c r="D73" s="2"/>
      <c r="E73" s="16"/>
      <c r="F73" s="23"/>
      <c r="G73" s="16"/>
      <c r="H73" s="23"/>
      <c r="I73" s="16"/>
      <c r="J73" s="23"/>
      <c r="K73" s="16"/>
    </row>
    <row r="74" spans="1:11" x14ac:dyDescent="0.25">
      <c r="B74" s="3"/>
      <c r="C74" s="69"/>
      <c r="D74" s="2"/>
      <c r="E74" s="16"/>
      <c r="F74" s="23"/>
      <c r="G74" s="16"/>
      <c r="H74" s="23"/>
      <c r="I74" s="16"/>
      <c r="J74" s="23"/>
      <c r="K74" s="16"/>
    </row>
    <row r="75" spans="1:11" x14ac:dyDescent="0.25">
      <c r="B75" s="3"/>
      <c r="C75" s="69"/>
      <c r="D75" s="2"/>
      <c r="E75" s="16"/>
      <c r="F75" s="23"/>
      <c r="G75" s="16"/>
      <c r="H75" s="23"/>
      <c r="I75" s="16"/>
      <c r="J75" s="23"/>
      <c r="K75" s="16"/>
    </row>
    <row r="76" spans="1:11" x14ac:dyDescent="0.25">
      <c r="B76" s="3"/>
      <c r="C76" s="69"/>
      <c r="D76" s="2"/>
      <c r="E76" s="16"/>
      <c r="F76" s="23"/>
      <c r="G76" s="16"/>
      <c r="H76" s="23"/>
      <c r="I76" s="16"/>
      <c r="J76" s="23"/>
      <c r="K76" s="16"/>
    </row>
    <row r="77" spans="1:11" x14ac:dyDescent="0.25">
      <c r="B77" s="3"/>
      <c r="C77" s="69"/>
      <c r="D77" s="2"/>
      <c r="E77" s="16"/>
      <c r="F77" s="23"/>
      <c r="G77" s="16"/>
      <c r="H77" s="23"/>
      <c r="I77" s="16"/>
      <c r="J77" s="23"/>
      <c r="K77" s="16"/>
    </row>
    <row r="78" spans="1:11" x14ac:dyDescent="0.25">
      <c r="B78" s="3"/>
      <c r="C78" s="69"/>
      <c r="D78" s="2"/>
      <c r="E78" s="16"/>
      <c r="F78" s="23"/>
      <c r="G78" s="16"/>
      <c r="H78" s="23"/>
      <c r="I78" s="16"/>
      <c r="J78" s="23"/>
      <c r="K78" s="16"/>
    </row>
    <row r="79" spans="1:11" x14ac:dyDescent="0.25">
      <c r="B79" s="3"/>
      <c r="C79" s="69"/>
      <c r="D79" s="2"/>
      <c r="E79" s="16"/>
      <c r="F79" s="23"/>
      <c r="G79" s="16"/>
      <c r="H79" s="23"/>
      <c r="I79" s="16"/>
      <c r="J79" s="16"/>
      <c r="K79" s="16"/>
    </row>
    <row r="80" spans="1:11" x14ac:dyDescent="0.25">
      <c r="B80" s="3"/>
      <c r="C80" s="69"/>
      <c r="D80" s="2"/>
      <c r="E80" s="16"/>
      <c r="F80" s="23"/>
      <c r="G80" s="16"/>
      <c r="H80" s="23"/>
      <c r="I80" s="16"/>
      <c r="J80" s="23"/>
      <c r="K80" s="16"/>
    </row>
    <row r="81" spans="1:11" x14ac:dyDescent="0.25">
      <c r="B81" s="3"/>
      <c r="C81" s="69"/>
      <c r="D81" s="2"/>
      <c r="E81" s="16"/>
      <c r="F81" s="23"/>
      <c r="G81" s="16"/>
      <c r="H81" s="23"/>
      <c r="I81" s="16"/>
      <c r="J81" s="16"/>
      <c r="K81" s="16"/>
    </row>
    <row r="82" spans="1:11" x14ac:dyDescent="0.25">
      <c r="B82" s="3"/>
      <c r="C82" s="69"/>
      <c r="D82" s="2"/>
      <c r="E82" s="16"/>
      <c r="F82" s="23"/>
      <c r="G82" s="16"/>
      <c r="H82" s="23"/>
      <c r="I82" s="16"/>
      <c r="J82" s="16"/>
      <c r="K82" s="16"/>
    </row>
    <row r="83" spans="1:11" x14ac:dyDescent="0.25">
      <c r="B83" s="3"/>
      <c r="C83" s="69"/>
      <c r="D83" s="2"/>
      <c r="E83" s="16"/>
      <c r="F83" s="23"/>
      <c r="G83" s="16"/>
      <c r="H83" s="23"/>
      <c r="I83" s="16"/>
      <c r="J83" s="23"/>
      <c r="K83" s="16"/>
    </row>
    <row r="84" spans="1:11" x14ac:dyDescent="0.25">
      <c r="B84" s="3"/>
      <c r="C84" s="69"/>
      <c r="D84" s="2"/>
      <c r="E84" s="16"/>
      <c r="F84" s="23"/>
      <c r="G84" s="16"/>
      <c r="H84" s="23"/>
      <c r="I84" s="16"/>
      <c r="J84" s="23"/>
      <c r="K84" s="16"/>
    </row>
    <row r="85" spans="1:11" x14ac:dyDescent="0.25">
      <c r="B85" s="3"/>
      <c r="C85" s="69"/>
      <c r="D85" s="2"/>
      <c r="E85" s="16"/>
      <c r="F85" s="23"/>
      <c r="G85" s="16"/>
      <c r="H85" s="23"/>
      <c r="I85" s="16"/>
      <c r="J85" s="23"/>
      <c r="K85" s="16"/>
    </row>
    <row r="86" spans="1:11" x14ac:dyDescent="0.25">
      <c r="B86" s="3"/>
      <c r="C86" s="69"/>
      <c r="D86" s="2"/>
      <c r="E86" s="16"/>
      <c r="F86" s="23"/>
      <c r="G86" s="16"/>
      <c r="H86" s="23"/>
      <c r="I86" s="16"/>
      <c r="J86" s="16"/>
      <c r="K86" s="16"/>
    </row>
    <row r="87" spans="1:11" x14ac:dyDescent="0.25">
      <c r="B87" s="3"/>
      <c r="C87" s="69"/>
      <c r="D87" s="2"/>
      <c r="E87" s="16"/>
      <c r="F87" s="23"/>
      <c r="G87" s="16"/>
      <c r="H87" s="23"/>
      <c r="I87" s="16"/>
      <c r="J87" s="23"/>
      <c r="K87" s="16"/>
    </row>
    <row r="88" spans="1:11" x14ac:dyDescent="0.25">
      <c r="C88" s="16"/>
      <c r="E88" s="16"/>
      <c r="F88" s="23"/>
      <c r="G88" s="16"/>
      <c r="H88" s="23"/>
      <c r="I88" s="16"/>
      <c r="J88" s="16"/>
      <c r="K88" s="16"/>
    </row>
    <row r="89" spans="1:11" x14ac:dyDescent="0.25">
      <c r="C89" s="16"/>
      <c r="E89" s="16"/>
      <c r="F89" s="23"/>
      <c r="G89" s="144"/>
      <c r="H89" s="144"/>
      <c r="I89" s="144"/>
      <c r="J89" s="144"/>
      <c r="K89" s="144"/>
    </row>
    <row r="90" spans="1:11" x14ac:dyDescent="0.25">
      <c r="C90" s="16"/>
      <c r="E90" s="16"/>
      <c r="F90" s="23"/>
      <c r="G90" s="16"/>
      <c r="H90" s="23"/>
      <c r="I90" s="16"/>
      <c r="J90" s="16"/>
      <c r="K90" s="16"/>
    </row>
    <row r="91" spans="1:11" x14ac:dyDescent="0.25">
      <c r="C91" s="16"/>
      <c r="E91" s="16"/>
      <c r="F91" s="23"/>
      <c r="G91" s="16"/>
      <c r="H91" s="23"/>
      <c r="I91" s="16"/>
      <c r="J91" s="16"/>
      <c r="K91" s="16"/>
    </row>
    <row r="92" spans="1:11" ht="15.75" x14ac:dyDescent="0.25">
      <c r="A92" s="47"/>
      <c r="B92" s="47"/>
      <c r="C92" s="70"/>
      <c r="D92" s="49"/>
      <c r="E92" s="48"/>
      <c r="F92" s="22"/>
      <c r="G92" s="48"/>
      <c r="H92" s="22"/>
      <c r="I92" s="48"/>
      <c r="J92" s="48"/>
      <c r="K92" s="48"/>
    </row>
    <row r="93" spans="1:11" x14ac:dyDescent="0.25">
      <c r="B93" s="3"/>
      <c r="C93" s="69"/>
      <c r="D93" s="2"/>
      <c r="E93" s="16"/>
      <c r="F93" s="23"/>
      <c r="G93" s="16"/>
      <c r="H93" s="23"/>
      <c r="I93" s="16"/>
      <c r="J93" s="23"/>
      <c r="K93" s="16"/>
    </row>
    <row r="94" spans="1:11" x14ac:dyDescent="0.25">
      <c r="B94" s="3"/>
      <c r="C94" s="69"/>
      <c r="D94" s="2"/>
      <c r="E94" s="16"/>
      <c r="F94" s="23"/>
      <c r="G94" s="16"/>
      <c r="H94" s="23"/>
      <c r="I94" s="16"/>
      <c r="J94" s="23"/>
      <c r="K94" s="16"/>
    </row>
    <row r="95" spans="1:11" x14ac:dyDescent="0.25">
      <c r="B95" s="3"/>
      <c r="C95" s="69"/>
      <c r="D95" s="2"/>
      <c r="E95" s="16"/>
      <c r="F95" s="23"/>
      <c r="G95" s="16"/>
      <c r="H95" s="23"/>
      <c r="I95" s="16"/>
      <c r="J95" s="23"/>
      <c r="K95" s="16"/>
    </row>
    <row r="96" spans="1:11" x14ac:dyDescent="0.25">
      <c r="B96" s="3"/>
      <c r="C96" s="69"/>
      <c r="D96" s="2"/>
      <c r="E96" s="16"/>
      <c r="F96" s="23"/>
      <c r="G96" s="16"/>
      <c r="H96" s="23"/>
      <c r="I96" s="16"/>
      <c r="J96" s="23"/>
      <c r="K96" s="16"/>
    </row>
    <row r="97" spans="2:11" x14ac:dyDescent="0.25">
      <c r="B97" s="3"/>
      <c r="C97" s="69"/>
      <c r="D97" s="2"/>
      <c r="E97" s="16"/>
      <c r="F97" s="23"/>
      <c r="G97" s="16"/>
      <c r="H97" s="23"/>
      <c r="I97" s="16"/>
      <c r="J97" s="23"/>
      <c r="K97" s="16"/>
    </row>
    <row r="98" spans="2:11" x14ac:dyDescent="0.25">
      <c r="B98" s="3"/>
      <c r="C98" s="69"/>
      <c r="D98" s="2"/>
      <c r="E98" s="16"/>
      <c r="F98" s="23"/>
      <c r="G98" s="16"/>
      <c r="H98" s="23"/>
      <c r="I98" s="16"/>
      <c r="J98" s="16"/>
      <c r="K98" s="16"/>
    </row>
    <row r="99" spans="2:11" x14ac:dyDescent="0.25">
      <c r="B99" s="3"/>
      <c r="C99" s="69"/>
      <c r="D99" s="2"/>
      <c r="E99" s="16"/>
      <c r="F99" s="23"/>
      <c r="G99" s="16"/>
      <c r="H99" s="23"/>
      <c r="I99" s="16"/>
      <c r="J99" s="23"/>
      <c r="K99" s="16"/>
    </row>
    <row r="100" spans="2:11" x14ac:dyDescent="0.25">
      <c r="B100" s="3"/>
      <c r="C100" s="69"/>
      <c r="D100" s="2"/>
      <c r="E100" s="16"/>
      <c r="F100" s="23"/>
      <c r="G100" s="16"/>
      <c r="H100" s="23"/>
      <c r="I100" s="16"/>
      <c r="J100" s="23"/>
      <c r="K100" s="16"/>
    </row>
    <row r="101" spans="2:11" x14ac:dyDescent="0.25">
      <c r="B101" s="3"/>
      <c r="C101" s="69"/>
      <c r="D101" s="2"/>
      <c r="E101" s="16"/>
      <c r="F101" s="23"/>
      <c r="G101" s="16"/>
      <c r="H101" s="23"/>
      <c r="I101" s="16"/>
      <c r="J101" s="23"/>
      <c r="K101" s="16"/>
    </row>
    <row r="102" spans="2:11" x14ac:dyDescent="0.25">
      <c r="B102" s="3"/>
      <c r="C102" s="69"/>
      <c r="D102" s="2"/>
      <c r="E102" s="16"/>
      <c r="F102" s="23"/>
      <c r="G102" s="16"/>
      <c r="H102" s="23"/>
      <c r="I102" s="16"/>
      <c r="J102" s="23"/>
      <c r="K102" s="16"/>
    </row>
    <row r="103" spans="2:11" x14ac:dyDescent="0.25">
      <c r="B103" s="3"/>
      <c r="C103" s="69"/>
      <c r="D103" s="2"/>
      <c r="E103" s="16"/>
      <c r="F103" s="23"/>
      <c r="G103" s="16"/>
      <c r="H103" s="23"/>
      <c r="I103" s="16"/>
      <c r="J103" s="23"/>
      <c r="K103" s="16"/>
    </row>
    <row r="104" spans="2:11" x14ac:dyDescent="0.25">
      <c r="B104" s="3"/>
      <c r="C104" s="69"/>
      <c r="D104" s="2"/>
      <c r="E104" s="16"/>
      <c r="F104" s="23"/>
      <c r="G104" s="16"/>
      <c r="H104" s="23"/>
      <c r="I104" s="16"/>
      <c r="J104" s="23"/>
      <c r="K104" s="16"/>
    </row>
    <row r="105" spans="2:11" x14ac:dyDescent="0.25">
      <c r="B105" s="3"/>
      <c r="C105" s="69"/>
      <c r="D105" s="2"/>
      <c r="E105" s="16"/>
      <c r="F105" s="23"/>
      <c r="G105" s="16"/>
      <c r="H105" s="23"/>
      <c r="I105" s="16"/>
      <c r="J105" s="16"/>
      <c r="K105" s="16"/>
    </row>
    <row r="106" spans="2:11" x14ac:dyDescent="0.25">
      <c r="B106" s="3"/>
      <c r="C106" s="69"/>
      <c r="D106" s="2"/>
      <c r="E106" s="16"/>
      <c r="F106" s="23"/>
      <c r="G106" s="16"/>
      <c r="H106" s="23"/>
      <c r="I106" s="16"/>
      <c r="J106" s="23"/>
      <c r="K106" s="16"/>
    </row>
    <row r="107" spans="2:11" x14ac:dyDescent="0.25">
      <c r="B107" s="3"/>
      <c r="C107" s="69"/>
      <c r="D107" s="2"/>
      <c r="E107" s="16"/>
      <c r="F107" s="23"/>
      <c r="G107" s="16"/>
      <c r="H107" s="23"/>
      <c r="I107" s="16"/>
      <c r="J107" s="16"/>
      <c r="K107" s="16"/>
    </row>
    <row r="108" spans="2:11" x14ac:dyDescent="0.25">
      <c r="B108" s="3"/>
      <c r="C108" s="69"/>
      <c r="D108" s="2"/>
      <c r="E108" s="16"/>
      <c r="F108" s="23"/>
      <c r="G108" s="16"/>
      <c r="H108" s="23"/>
      <c r="I108" s="16"/>
      <c r="J108" s="16"/>
      <c r="K108" s="16"/>
    </row>
    <row r="109" spans="2:11" x14ac:dyDescent="0.25">
      <c r="B109" s="3"/>
      <c r="C109" s="69"/>
      <c r="D109" s="2"/>
      <c r="E109" s="16"/>
      <c r="F109" s="23"/>
      <c r="G109" s="16"/>
      <c r="H109" s="23"/>
      <c r="I109" s="16"/>
      <c r="J109" s="23"/>
      <c r="K109" s="16"/>
    </row>
    <row r="110" spans="2:11" x14ac:dyDescent="0.25">
      <c r="B110" s="3"/>
      <c r="C110" s="69"/>
      <c r="D110" s="2"/>
      <c r="E110" s="16"/>
      <c r="F110" s="23"/>
      <c r="G110" s="16"/>
      <c r="H110" s="23"/>
      <c r="I110" s="16"/>
      <c r="J110" s="23"/>
      <c r="K110" s="16"/>
    </row>
    <row r="111" spans="2:11" x14ac:dyDescent="0.25">
      <c r="B111" s="3"/>
      <c r="C111" s="69"/>
      <c r="D111" s="2"/>
      <c r="E111" s="16"/>
      <c r="F111" s="23"/>
      <c r="G111" s="16"/>
      <c r="H111" s="23"/>
      <c r="I111" s="16"/>
      <c r="J111" s="23"/>
      <c r="K111" s="16"/>
    </row>
    <row r="112" spans="2:11" x14ac:dyDescent="0.25">
      <c r="B112" s="3"/>
      <c r="C112" s="69"/>
      <c r="D112" s="2"/>
      <c r="E112" s="16"/>
      <c r="F112" s="23"/>
      <c r="G112" s="16"/>
      <c r="H112" s="23"/>
      <c r="I112" s="16"/>
      <c r="J112" s="16"/>
      <c r="K112" s="16"/>
    </row>
    <row r="113" spans="2:11" x14ac:dyDescent="0.25">
      <c r="B113" s="3"/>
      <c r="C113" s="69"/>
      <c r="D113" s="2"/>
      <c r="E113" s="16"/>
      <c r="F113" s="23"/>
      <c r="G113" s="16"/>
      <c r="H113" s="23"/>
      <c r="I113" s="16"/>
      <c r="J113" s="23"/>
      <c r="K113" s="16"/>
    </row>
    <row r="114" spans="2:11" x14ac:dyDescent="0.25">
      <c r="C114" s="16"/>
      <c r="E114" s="16"/>
      <c r="F114" s="23"/>
      <c r="G114" s="16"/>
      <c r="H114" s="23"/>
      <c r="I114" s="16"/>
      <c r="J114" s="16"/>
      <c r="K114" s="16"/>
    </row>
    <row r="115" spans="2:11" x14ac:dyDescent="0.25">
      <c r="C115" s="16"/>
      <c r="E115" s="16"/>
      <c r="F115" s="23"/>
      <c r="G115" s="144"/>
      <c r="H115" s="144"/>
      <c r="I115" s="144"/>
      <c r="J115" s="144"/>
      <c r="K115" s="144"/>
    </row>
    <row r="116" spans="2:11" x14ac:dyDescent="0.25">
      <c r="C116" s="16"/>
      <c r="E116" s="16"/>
      <c r="F116" s="23"/>
      <c r="G116" s="16"/>
      <c r="H116" s="23"/>
      <c r="I116" s="16"/>
      <c r="J116" s="16"/>
      <c r="K116" s="16"/>
    </row>
    <row r="117" spans="2:11" x14ac:dyDescent="0.25">
      <c r="K117" s="71"/>
    </row>
  </sheetData>
  <sheetProtection algorithmName="SHA-512" hashValue="jwHe7/zGP9bAI/B9F1FKaF9Nj9FryxW52GVatA46VfbZo+6J1MCjVFFyjTcncSz66lduAiNhRxjdKEvBc7DfWA==" saltValue="ntqRp9PM+/3jYzcEcZhsjg==" spinCount="100000" sheet="1" objects="1" scenarios="1"/>
  <mergeCells count="9">
    <mergeCell ref="N1:O2"/>
    <mergeCell ref="G115:K115"/>
    <mergeCell ref="A3:B3"/>
    <mergeCell ref="B1:L1"/>
    <mergeCell ref="B2:L2"/>
    <mergeCell ref="G37:K37"/>
    <mergeCell ref="G63:K63"/>
    <mergeCell ref="G89:K89"/>
    <mergeCell ref="B12:K12"/>
  </mergeCells>
  <conditionalFormatting sqref="H5:H9 G10:H11 G13:J14 G17:H19 G20:J20 G21:H26 G27:J27 G28:H28 G29:J30 G31:H33 G34:J34 G35:H35 G36:J36 G37:H37 G38:J40 G41:H45 G46:J46 G47:H52 G53:J53 G54:H54 G55:J56 G57:H59 G60:J60 G61:H61 G62:J62 G63:H63 G64:J66 G67:H71 G72:J72 G73:H78 G79:J79 G80:H80 G81:J82 G83:H85 G86:J86 G87:H87 G88:J88 G89:H89 G90:J92 G93:H97 G98:J98 G99:H104 G105:J105 G106:H106 G107:J108 G109:H111 G112:J112 G113:H113 G114:J114 G115:H115 G116:J1048576">
    <cfRule type="expression" dxfId="1" priority="1">
      <formula>IF($G:$G&lt;1,"0")</formula>
    </cfRule>
  </conditionalFormatting>
  <pageMargins left="0.7" right="0.7" top="0.75" bottom="0.75" header="0.3" footer="0.3"/>
  <pageSetup scale="39" orientation="portrait" r:id="rId1"/>
  <headerFooter>
    <oddHeader>&amp;CRFP 26-325
Temporary Staffing and Recruitment Services</oddHeader>
  </headerFooter>
  <rowBreaks count="1" manualBreakCount="1">
    <brk id="80"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E506-7E25-4E53-B253-DF1E8CAEBD19}">
  <dimension ref="A3:H114"/>
  <sheetViews>
    <sheetView zoomScaleNormal="100" workbookViewId="0">
      <selection activeCell="M23" sqref="M23"/>
    </sheetView>
  </sheetViews>
  <sheetFormatPr defaultRowHeight="15" x14ac:dyDescent="0.25"/>
  <cols>
    <col min="1" max="1" width="14.28515625" bestFit="1" customWidth="1"/>
    <col min="2" max="2" width="10.42578125" customWidth="1"/>
    <col min="3" max="3" width="13.85546875" customWidth="1"/>
    <col min="4" max="4" width="12.85546875" customWidth="1"/>
    <col min="5" max="5" width="13.42578125" customWidth="1"/>
    <col min="6" max="6" width="13.7109375" customWidth="1"/>
    <col min="7" max="7" width="12.5703125" bestFit="1" customWidth="1"/>
    <col min="8" max="8" width="14.28515625" bestFit="1" customWidth="1"/>
  </cols>
  <sheetData>
    <row r="3" spans="1:8" x14ac:dyDescent="0.25">
      <c r="C3" s="147" t="s">
        <v>91</v>
      </c>
      <c r="D3" s="147"/>
      <c r="E3" s="147"/>
      <c r="F3" s="147"/>
      <c r="G3" s="147"/>
    </row>
    <row r="4" spans="1:8" ht="51" customHeight="1" x14ac:dyDescent="0.25">
      <c r="B4" s="99"/>
      <c r="C4" s="101" t="s">
        <v>0</v>
      </c>
      <c r="D4" s="101" t="s">
        <v>4</v>
      </c>
      <c r="E4" s="101" t="s">
        <v>102</v>
      </c>
      <c r="F4" s="101" t="s">
        <v>6</v>
      </c>
      <c r="G4" s="101" t="s">
        <v>7</v>
      </c>
    </row>
    <row r="5" spans="1:8" x14ac:dyDescent="0.25">
      <c r="B5" s="100" t="s">
        <v>30</v>
      </c>
      <c r="C5" s="102">
        <f>'5-Year Temp Svcs Projections'!I9</f>
        <v>459750</v>
      </c>
      <c r="D5" s="103">
        <f>'5-Year Temp Svcs Projections'!I16</f>
        <v>181594</v>
      </c>
      <c r="E5" s="103">
        <f>'5-Year Temp Svcs Projections'!I20</f>
        <v>616666.66666666663</v>
      </c>
      <c r="F5" s="103">
        <f>'5-Year Temp Svcs Projections'!I24</f>
        <v>253232</v>
      </c>
      <c r="G5" s="108">
        <f>'5-Year Temp Svcs Projections'!I27</f>
        <v>185000</v>
      </c>
    </row>
    <row r="6" spans="1:8" x14ac:dyDescent="0.25">
      <c r="B6" s="100" t="s">
        <v>31</v>
      </c>
      <c r="C6" s="104">
        <f>'5-Year Temp Svcs Projections'!I36</f>
        <v>459750</v>
      </c>
      <c r="D6" s="105">
        <f>'5-Year Temp Svcs Projections'!I43</f>
        <v>181594</v>
      </c>
      <c r="E6" s="105">
        <f>'5-Year Temp Svcs Projections'!I47</f>
        <v>616666.66666666663</v>
      </c>
      <c r="F6" s="105">
        <f>'5-Year Temp Svcs Projections'!I51</f>
        <v>253232</v>
      </c>
      <c r="G6" s="109">
        <f>'5-Year Temp Svcs Projections'!I54</f>
        <v>185000</v>
      </c>
    </row>
    <row r="7" spans="1:8" ht="15.75" thickBot="1" x14ac:dyDescent="0.3">
      <c r="B7" s="100" t="s">
        <v>32</v>
      </c>
      <c r="C7" s="104">
        <f>'5-Year Temp Svcs Projections'!I63</f>
        <v>413775</v>
      </c>
      <c r="D7" s="105">
        <f>'5-Year Temp Svcs Projections'!I70</f>
        <v>163500</v>
      </c>
      <c r="E7" s="105">
        <f>'5-Year Temp Svcs Projections'!I74</f>
        <v>555246.66666666663</v>
      </c>
      <c r="F7" s="105">
        <f>'5-Year Temp Svcs Projections'!I78</f>
        <v>228152</v>
      </c>
      <c r="G7" s="109">
        <f>'5-Year Temp Svcs Projections'!I81</f>
        <v>166611</v>
      </c>
    </row>
    <row r="8" spans="1:8" ht="15.75" thickBot="1" x14ac:dyDescent="0.3">
      <c r="A8" s="148" t="s">
        <v>106</v>
      </c>
      <c r="B8" s="149"/>
      <c r="C8" s="127">
        <f>SUM(C5:C7)</f>
        <v>1333275</v>
      </c>
      <c r="D8" s="127">
        <f t="shared" ref="D8:G8" si="0">SUM(D5:D7)</f>
        <v>526688</v>
      </c>
      <c r="E8" s="127">
        <f t="shared" si="0"/>
        <v>1788580</v>
      </c>
      <c r="F8" s="127">
        <f t="shared" si="0"/>
        <v>734616</v>
      </c>
      <c r="G8" s="127">
        <f t="shared" si="0"/>
        <v>536611</v>
      </c>
    </row>
    <row r="9" spans="1:8" x14ac:dyDescent="0.25">
      <c r="B9" s="100" t="s">
        <v>33</v>
      </c>
      <c r="C9" s="104">
        <f>'5-Year Temp Svcs Projections'!I90</f>
        <v>392810.4</v>
      </c>
      <c r="D9" s="105">
        <f>'5-Year Temp Svcs Projections'!I97</f>
        <v>155216</v>
      </c>
      <c r="E9" s="105">
        <f>'5-Year Temp Svcs Projections'!I101</f>
        <v>526880</v>
      </c>
      <c r="F9" s="105">
        <f>'5-Year Temp Svcs Projections'!I105</f>
        <v>216448</v>
      </c>
      <c r="G9" s="109">
        <f>'5-Year Temp Svcs Projections'!I108</f>
        <v>158101</v>
      </c>
    </row>
    <row r="10" spans="1:8" ht="15.75" thickBot="1" x14ac:dyDescent="0.3">
      <c r="B10" s="100" t="s">
        <v>34</v>
      </c>
      <c r="C10" s="104">
        <f>'5-Year Temp Svcs Projections'!I117</f>
        <v>372581.4</v>
      </c>
      <c r="D10" s="105">
        <f>'5-Year Temp Svcs Projections'!I124</f>
        <v>147150</v>
      </c>
      <c r="E10" s="105">
        <f>'5-Year Temp Svcs Projections'!I128</f>
        <v>500116.66666666663</v>
      </c>
      <c r="F10" s="105">
        <f>'5-Year Temp Svcs Projections'!I132</f>
        <v>205352</v>
      </c>
      <c r="G10" s="109">
        <f>'5-Year Temp Svcs Projections'!I135</f>
        <v>150035</v>
      </c>
    </row>
    <row r="11" spans="1:8" ht="15.75" thickBot="1" x14ac:dyDescent="0.3">
      <c r="A11" s="148" t="s">
        <v>108</v>
      </c>
      <c r="B11" s="149"/>
      <c r="C11" s="127">
        <f>SUM(C9:C10)</f>
        <v>765391.8</v>
      </c>
      <c r="D11" s="127">
        <f t="shared" ref="D11:G11" si="1">SUM(D9:D10)</f>
        <v>302366</v>
      </c>
      <c r="E11" s="127">
        <f t="shared" si="1"/>
        <v>1026996.6666666666</v>
      </c>
      <c r="F11" s="127">
        <f t="shared" si="1"/>
        <v>421800</v>
      </c>
      <c r="G11" s="127">
        <f t="shared" si="1"/>
        <v>308136</v>
      </c>
    </row>
    <row r="12" spans="1:8" x14ac:dyDescent="0.25">
      <c r="B12" s="129" t="s">
        <v>83</v>
      </c>
      <c r="C12" s="128">
        <f>C8+C11</f>
        <v>2098666.7999999998</v>
      </c>
      <c r="D12" s="128">
        <f t="shared" ref="D12:F12" si="2">D8+D11</f>
        <v>829054</v>
      </c>
      <c r="E12" s="128">
        <f t="shared" si="2"/>
        <v>2815576.6666666665</v>
      </c>
      <c r="F12" s="128">
        <f t="shared" si="2"/>
        <v>1156416</v>
      </c>
      <c r="G12" s="128">
        <f>G8+G11</f>
        <v>844747</v>
      </c>
      <c r="H12" s="136">
        <f>SUM(C12:G12)</f>
        <v>7744460.4666666668</v>
      </c>
    </row>
    <row r="16" spans="1:8" ht="15" customHeight="1" x14ac:dyDescent="0.25">
      <c r="A16" s="61"/>
      <c r="C16" s="147" t="s">
        <v>98</v>
      </c>
      <c r="D16" s="147"/>
      <c r="E16" s="147"/>
      <c r="F16" s="147"/>
      <c r="G16" s="147"/>
    </row>
    <row r="17" spans="1:7" x14ac:dyDescent="0.25">
      <c r="A17" s="61"/>
      <c r="B17" s="99"/>
      <c r="C17" s="111" t="s">
        <v>90</v>
      </c>
      <c r="D17" s="111" t="s">
        <v>87</v>
      </c>
      <c r="E17" s="111" t="s">
        <v>88</v>
      </c>
      <c r="F17" s="111" t="s">
        <v>89</v>
      </c>
      <c r="G17" s="111" t="s">
        <v>105</v>
      </c>
    </row>
    <row r="18" spans="1:7" x14ac:dyDescent="0.25">
      <c r="B18" s="100" t="s">
        <v>85</v>
      </c>
      <c r="C18" s="102">
        <f>'5-Year Direct Hire Projections'!D5</f>
        <v>0</v>
      </c>
      <c r="D18" s="103">
        <f>'5-Year Direct Hire Projections'!D6</f>
        <v>0</v>
      </c>
      <c r="E18" s="103">
        <f>'5-Year Direct Hire Projections'!D7</f>
        <v>0</v>
      </c>
      <c r="F18" s="108">
        <f>'5-Year Direct Hire Projections'!D8</f>
        <v>0</v>
      </c>
      <c r="G18" s="131">
        <f>SUM(C18:F18)</f>
        <v>0</v>
      </c>
    </row>
    <row r="19" spans="1:7" x14ac:dyDescent="0.25">
      <c r="B19" s="100" t="s">
        <v>31</v>
      </c>
      <c r="C19" s="104">
        <f>'5-Year Direct Hire Projections'!F5</f>
        <v>0</v>
      </c>
      <c r="D19" s="105">
        <f>'5-Year Direct Hire Projections'!F6</f>
        <v>0</v>
      </c>
      <c r="E19" s="105">
        <f>'5-Year Direct Hire Projections'!F7</f>
        <v>0</v>
      </c>
      <c r="F19" s="109">
        <f>'5-Year Direct Hire Projections'!F8</f>
        <v>0</v>
      </c>
      <c r="G19" s="131">
        <f t="shared" ref="G19:G22" si="3">SUM(C19:F19)</f>
        <v>0</v>
      </c>
    </row>
    <row r="20" spans="1:7" x14ac:dyDescent="0.25">
      <c r="B20" s="100" t="s">
        <v>86</v>
      </c>
      <c r="C20" s="104">
        <f>'5-Year Direct Hire Projections'!H5</f>
        <v>0</v>
      </c>
      <c r="D20" s="105">
        <f>'5-Year Direct Hire Projections'!H6</f>
        <v>0</v>
      </c>
      <c r="E20" s="105">
        <f>'5-Year Direct Hire Projections'!H7</f>
        <v>0</v>
      </c>
      <c r="F20" s="109">
        <f>'5-Year Direct Hire Projections'!H8</f>
        <v>0</v>
      </c>
      <c r="G20" s="131">
        <f t="shared" si="3"/>
        <v>0</v>
      </c>
    </row>
    <row r="21" spans="1:7" x14ac:dyDescent="0.25">
      <c r="B21" s="100" t="s">
        <v>33</v>
      </c>
      <c r="C21" s="104">
        <f>'5-Year Direct Hire Projections'!J5</f>
        <v>0</v>
      </c>
      <c r="D21" s="105">
        <f>'5-Year Direct Hire Projections'!J6</f>
        <v>0</v>
      </c>
      <c r="E21" s="105">
        <f>'5-Year Direct Hire Projections'!J7</f>
        <v>0</v>
      </c>
      <c r="F21" s="109">
        <f>'5-Year Direct Hire Projections'!J8</f>
        <v>0</v>
      </c>
      <c r="G21" s="131">
        <f t="shared" si="3"/>
        <v>0</v>
      </c>
    </row>
    <row r="22" spans="1:7" ht="15.75" thickBot="1" x14ac:dyDescent="0.3">
      <c r="B22" s="100" t="s">
        <v>34</v>
      </c>
      <c r="C22" s="106">
        <f>'5-Year Direct Hire Projections'!L5</f>
        <v>0</v>
      </c>
      <c r="D22" s="107">
        <f>'5-Year Direct Hire Projections'!L6</f>
        <v>0</v>
      </c>
      <c r="E22" s="107">
        <f>'5-Year Direct Hire Projections'!L7</f>
        <v>0</v>
      </c>
      <c r="F22" s="110">
        <f>'5-Year Direct Hire Projections'!L8</f>
        <v>0</v>
      </c>
      <c r="G22" s="131">
        <f t="shared" si="3"/>
        <v>0</v>
      </c>
    </row>
    <row r="23" spans="1:7" x14ac:dyDescent="0.25">
      <c r="B23" s="130" t="s">
        <v>83</v>
      </c>
      <c r="C23" s="128">
        <f>SUM(C18:C22)</f>
        <v>0</v>
      </c>
      <c r="D23" s="128">
        <f>SUM(D18:D22)</f>
        <v>0</v>
      </c>
      <c r="E23" s="128">
        <f>SUM(E18:E22)</f>
        <v>0</v>
      </c>
      <c r="F23" s="128">
        <f>SUM(F18:F22)</f>
        <v>0</v>
      </c>
      <c r="G23" s="132">
        <f>SUM(C23:F23)</f>
        <v>0</v>
      </c>
    </row>
    <row r="33" spans="1:1" ht="51.75" customHeight="1" x14ac:dyDescent="0.25"/>
    <row r="37" spans="1:1" x14ac:dyDescent="0.25">
      <c r="A37" s="12"/>
    </row>
    <row r="38" spans="1:1" x14ac:dyDescent="0.25">
      <c r="A38" s="12"/>
    </row>
    <row r="39" spans="1:1" x14ac:dyDescent="0.25">
      <c r="A39" s="12"/>
    </row>
    <row r="40" spans="1:1" x14ac:dyDescent="0.25">
      <c r="A40" s="12"/>
    </row>
    <row r="41" spans="1:1" x14ac:dyDescent="0.25">
      <c r="A41" s="12"/>
    </row>
    <row r="42" spans="1:1" x14ac:dyDescent="0.25">
      <c r="A42" s="12"/>
    </row>
    <row r="60" ht="51" customHeight="1" x14ac:dyDescent="0.25"/>
    <row r="87" ht="51" customHeight="1" x14ac:dyDescent="0.25"/>
    <row r="114" ht="50.25" customHeight="1" x14ac:dyDescent="0.25"/>
  </sheetData>
  <mergeCells count="4">
    <mergeCell ref="C3:G3"/>
    <mergeCell ref="A8:B8"/>
    <mergeCell ref="A11:B11"/>
    <mergeCell ref="C16:G16"/>
  </mergeCells>
  <pageMargins left="0.7" right="0.7" top="0.75" bottom="0.75" header="0.3" footer="0.3"/>
  <pageSetup scale="41" orientation="portrait" r:id="rId1"/>
  <headerFooter>
    <oddHeader>&amp;CRFP 26-325
Temporary Staffing and Recruitment Services</oddHeader>
  </headerFooter>
  <rowBreaks count="1" manualBreakCount="1">
    <brk id="8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6F116-2159-453A-AF5E-AFFD21CEB31E}">
  <dimension ref="A2:P132"/>
  <sheetViews>
    <sheetView topLeftCell="B28" workbookViewId="0">
      <selection activeCell="O28" sqref="O28"/>
    </sheetView>
  </sheetViews>
  <sheetFormatPr defaultRowHeight="15" x14ac:dyDescent="0.25"/>
  <cols>
    <col min="2" max="2" width="30.85546875" customWidth="1"/>
    <col min="3" max="3" width="40.5703125" bestFit="1" customWidth="1"/>
    <col min="4" max="4" width="11.85546875" style="4" customWidth="1"/>
    <col min="5" max="5" width="12.140625" style="5" customWidth="1"/>
    <col min="6" max="6" width="12.28515625" style="5" customWidth="1"/>
    <col min="7" max="7" width="11.140625" style="4" customWidth="1"/>
    <col min="8" max="8" width="10.7109375" style="18" customWidth="1"/>
    <col min="9" max="9" width="15.42578125" style="4" customWidth="1"/>
    <col min="10" max="10" width="15.42578125" style="31" customWidth="1"/>
    <col min="13" max="13" width="9.5703125" customWidth="1"/>
    <col min="14" max="14" width="26.28515625" bestFit="1" customWidth="1"/>
    <col min="15" max="15" width="10.42578125" customWidth="1"/>
    <col min="16" max="16" width="14.28515625" bestFit="1" customWidth="1"/>
  </cols>
  <sheetData>
    <row r="2" spans="1:16" ht="48" customHeight="1" x14ac:dyDescent="0.25">
      <c r="A2" s="6" t="s">
        <v>30</v>
      </c>
      <c r="B2" s="6" t="s">
        <v>1</v>
      </c>
      <c r="C2" s="6" t="s">
        <v>29</v>
      </c>
      <c r="D2" s="7" t="s">
        <v>23</v>
      </c>
      <c r="E2" s="21" t="s">
        <v>26</v>
      </c>
      <c r="F2" s="21" t="s">
        <v>27</v>
      </c>
      <c r="G2" s="7" t="s">
        <v>28</v>
      </c>
      <c r="H2" s="17" t="s">
        <v>22</v>
      </c>
      <c r="I2" s="7" t="s">
        <v>25</v>
      </c>
      <c r="J2" s="30"/>
      <c r="K2" s="1"/>
      <c r="L2" s="1"/>
      <c r="N2" s="15" t="s">
        <v>21</v>
      </c>
    </row>
    <row r="3" spans="1:16" x14ac:dyDescent="0.25">
      <c r="B3" s="3" t="s">
        <v>0</v>
      </c>
      <c r="C3" s="2" t="s">
        <v>3</v>
      </c>
      <c r="D3" s="4">
        <v>121.86</v>
      </c>
      <c r="E3" s="5">
        <v>0</v>
      </c>
      <c r="F3" s="4">
        <f>D3*E3</f>
        <v>0</v>
      </c>
      <c r="G3" s="4">
        <f>D3+F3</f>
        <v>121.86</v>
      </c>
      <c r="H3" s="18">
        <v>1000</v>
      </c>
      <c r="I3" s="4">
        <f>G3*H3</f>
        <v>121860</v>
      </c>
      <c r="M3" s="14" t="s">
        <v>35</v>
      </c>
      <c r="N3" s="12">
        <f>I25</f>
        <v>1197626</v>
      </c>
    </row>
    <row r="4" spans="1:16" x14ac:dyDescent="0.25">
      <c r="B4" s="3"/>
      <c r="C4" s="2" t="s">
        <v>16</v>
      </c>
      <c r="D4" s="4">
        <v>112</v>
      </c>
      <c r="E4" s="16">
        <v>0</v>
      </c>
      <c r="F4" s="4">
        <f t="shared" ref="F4:F16" si="0">D4*E4</f>
        <v>0</v>
      </c>
      <c r="G4" s="4">
        <f t="shared" ref="G4:G16" si="1">D4+F4</f>
        <v>112</v>
      </c>
      <c r="H4" s="18">
        <v>1000</v>
      </c>
      <c r="I4" s="4">
        <f t="shared" ref="I4:I7" si="2">G4*H4</f>
        <v>112000</v>
      </c>
      <c r="M4" s="14" t="s">
        <v>36</v>
      </c>
      <c r="N4" s="12">
        <f>I51</f>
        <v>1197626</v>
      </c>
    </row>
    <row r="5" spans="1:16" x14ac:dyDescent="0.25">
      <c r="B5" s="3"/>
      <c r="C5" s="2" t="s">
        <v>19</v>
      </c>
      <c r="D5" s="4">
        <v>210</v>
      </c>
      <c r="E5" s="5">
        <v>0</v>
      </c>
      <c r="F5" s="4">
        <f t="shared" si="0"/>
        <v>0</v>
      </c>
      <c r="G5" s="4">
        <f t="shared" si="1"/>
        <v>210</v>
      </c>
      <c r="H5" s="18">
        <v>1000</v>
      </c>
      <c r="I5" s="4">
        <f t="shared" si="2"/>
        <v>210000</v>
      </c>
      <c r="M5" s="14" t="s">
        <v>37</v>
      </c>
      <c r="N5" s="12">
        <f>I77</f>
        <v>1078283</v>
      </c>
    </row>
    <row r="6" spans="1:16" x14ac:dyDescent="0.25">
      <c r="B6" s="3"/>
      <c r="C6" s="2" t="s">
        <v>18</v>
      </c>
      <c r="D6" s="4">
        <v>73.94</v>
      </c>
      <c r="E6" s="5">
        <v>0</v>
      </c>
      <c r="F6" s="4">
        <f t="shared" si="0"/>
        <v>0</v>
      </c>
      <c r="G6" s="4">
        <f t="shared" si="1"/>
        <v>73.94</v>
      </c>
      <c r="H6" s="18">
        <v>1000</v>
      </c>
      <c r="I6" s="4">
        <f t="shared" si="2"/>
        <v>73940</v>
      </c>
      <c r="M6" s="14" t="s">
        <v>38</v>
      </c>
      <c r="N6" s="12">
        <f>I103</f>
        <v>1023206.2</v>
      </c>
    </row>
    <row r="7" spans="1:16" x14ac:dyDescent="0.25">
      <c r="B7" s="3"/>
      <c r="C7" s="2" t="s">
        <v>2</v>
      </c>
      <c r="D7" s="4">
        <v>60</v>
      </c>
      <c r="E7" s="5">
        <v>0</v>
      </c>
      <c r="F7" s="4">
        <f t="shared" si="0"/>
        <v>0</v>
      </c>
      <c r="G7" s="4">
        <f t="shared" si="1"/>
        <v>60</v>
      </c>
      <c r="H7" s="18">
        <v>1000</v>
      </c>
      <c r="I7" s="4">
        <f t="shared" si="2"/>
        <v>60000</v>
      </c>
      <c r="M7" s="14" t="s">
        <v>39</v>
      </c>
      <c r="N7" s="12">
        <f>I129</f>
        <v>971132.8</v>
      </c>
    </row>
    <row r="8" spans="1:16" x14ac:dyDescent="0.25">
      <c r="B8" s="8"/>
      <c r="C8" s="9"/>
      <c r="D8" s="10"/>
      <c r="E8" s="11"/>
      <c r="F8" s="11"/>
      <c r="G8" s="10"/>
      <c r="H8" s="19"/>
      <c r="I8" s="10"/>
      <c r="J8" s="31">
        <f>SUM(I3:I7)</f>
        <v>577800</v>
      </c>
      <c r="N8" s="13"/>
    </row>
    <row r="9" spans="1:16" x14ac:dyDescent="0.25">
      <c r="B9" s="3" t="s">
        <v>4</v>
      </c>
      <c r="C9" s="2" t="s">
        <v>8</v>
      </c>
      <c r="D9" s="4">
        <v>55</v>
      </c>
      <c r="E9" s="5">
        <v>0</v>
      </c>
      <c r="F9" s="4">
        <f t="shared" si="0"/>
        <v>0</v>
      </c>
      <c r="G9" s="4">
        <f t="shared" si="1"/>
        <v>55</v>
      </c>
      <c r="H9" s="18">
        <v>833</v>
      </c>
      <c r="I9" s="4">
        <f>G9*H9</f>
        <v>45815</v>
      </c>
      <c r="K9" s="153" t="s">
        <v>40</v>
      </c>
      <c r="L9" s="153"/>
      <c r="M9" s="153"/>
      <c r="N9" s="42">
        <f>SUM(N3:N8)</f>
        <v>5467874</v>
      </c>
    </row>
    <row r="10" spans="1:16" x14ac:dyDescent="0.25">
      <c r="B10" s="3"/>
      <c r="C10" s="2" t="s">
        <v>10</v>
      </c>
      <c r="D10" s="4">
        <v>35</v>
      </c>
      <c r="E10" s="5">
        <v>0</v>
      </c>
      <c r="F10" s="4">
        <f t="shared" si="0"/>
        <v>0</v>
      </c>
      <c r="G10" s="4">
        <f t="shared" si="1"/>
        <v>35</v>
      </c>
      <c r="H10" s="18">
        <v>833</v>
      </c>
      <c r="I10" s="4">
        <f t="shared" ref="I10:I14" si="3">G10*H10</f>
        <v>29155</v>
      </c>
    </row>
    <row r="11" spans="1:16" x14ac:dyDescent="0.25">
      <c r="B11" s="3"/>
      <c r="C11" s="2" t="s">
        <v>11</v>
      </c>
      <c r="D11" s="4">
        <v>55</v>
      </c>
      <c r="E11" s="5">
        <v>0</v>
      </c>
      <c r="F11" s="4">
        <f t="shared" si="0"/>
        <v>0</v>
      </c>
      <c r="G11" s="4">
        <f t="shared" si="1"/>
        <v>55</v>
      </c>
      <c r="H11" s="18">
        <v>833</v>
      </c>
      <c r="I11" s="4">
        <f t="shared" si="3"/>
        <v>45815</v>
      </c>
    </row>
    <row r="12" spans="1:16" x14ac:dyDescent="0.25">
      <c r="B12" s="3"/>
      <c r="C12" s="2" t="s">
        <v>12</v>
      </c>
      <c r="D12" s="4">
        <v>25</v>
      </c>
      <c r="E12" s="5">
        <v>0</v>
      </c>
      <c r="F12" s="4">
        <f t="shared" si="0"/>
        <v>0</v>
      </c>
      <c r="G12" s="4">
        <f t="shared" si="1"/>
        <v>25</v>
      </c>
      <c r="H12" s="18">
        <v>833</v>
      </c>
      <c r="I12" s="4">
        <f t="shared" si="3"/>
        <v>20825</v>
      </c>
      <c r="N12" s="12"/>
    </row>
    <row r="13" spans="1:16" x14ac:dyDescent="0.25">
      <c r="B13" s="3"/>
      <c r="C13" s="2" t="s">
        <v>14</v>
      </c>
      <c r="D13" s="4">
        <v>30</v>
      </c>
      <c r="E13" s="5">
        <v>0</v>
      </c>
      <c r="F13" s="4">
        <f t="shared" si="0"/>
        <v>0</v>
      </c>
      <c r="G13" s="4">
        <f t="shared" si="1"/>
        <v>30</v>
      </c>
      <c r="H13" s="18">
        <v>833</v>
      </c>
      <c r="I13" s="4">
        <f t="shared" si="3"/>
        <v>24990</v>
      </c>
      <c r="N13" s="12"/>
    </row>
    <row r="14" spans="1:16" x14ac:dyDescent="0.25">
      <c r="B14" s="3"/>
      <c r="C14" s="2" t="s">
        <v>17</v>
      </c>
      <c r="D14" s="4">
        <v>18</v>
      </c>
      <c r="E14" s="5">
        <v>0</v>
      </c>
      <c r="F14" s="4">
        <f t="shared" si="0"/>
        <v>0</v>
      </c>
      <c r="G14" s="4">
        <f t="shared" si="1"/>
        <v>18</v>
      </c>
      <c r="H14" s="18">
        <v>833</v>
      </c>
      <c r="I14" s="4">
        <f t="shared" si="3"/>
        <v>14994</v>
      </c>
      <c r="N14" s="12"/>
    </row>
    <row r="15" spans="1:16" x14ac:dyDescent="0.25">
      <c r="B15" s="8"/>
      <c r="C15" s="9"/>
      <c r="D15" s="10"/>
      <c r="E15" s="11"/>
      <c r="F15" s="11"/>
      <c r="G15" s="10"/>
      <c r="H15" s="19"/>
      <c r="I15" s="10"/>
      <c r="J15" s="31">
        <f>SUM(I9:I14)</f>
        <v>181594</v>
      </c>
    </row>
    <row r="16" spans="1:16" x14ac:dyDescent="0.25">
      <c r="B16" s="3" t="s">
        <v>5</v>
      </c>
      <c r="C16" s="2"/>
      <c r="D16" s="4">
        <v>0</v>
      </c>
      <c r="E16" s="5">
        <v>0</v>
      </c>
      <c r="F16" s="4">
        <f t="shared" si="0"/>
        <v>0</v>
      </c>
      <c r="G16" s="4">
        <f t="shared" si="1"/>
        <v>0</v>
      </c>
      <c r="H16" s="18">
        <v>5000</v>
      </c>
      <c r="I16" s="4">
        <f>G16*$Q$4</f>
        <v>0</v>
      </c>
      <c r="K16" s="154" t="s">
        <v>54</v>
      </c>
      <c r="L16" s="154"/>
      <c r="M16" s="154"/>
      <c r="N16" s="154"/>
      <c r="O16" s="150" t="s">
        <v>50</v>
      </c>
      <c r="P16" s="150"/>
    </row>
    <row r="17" spans="1:16" x14ac:dyDescent="0.25">
      <c r="B17" s="3"/>
      <c r="C17" s="2"/>
      <c r="K17" s="154"/>
      <c r="L17" s="154"/>
      <c r="M17" s="154"/>
      <c r="N17" s="154"/>
      <c r="O17" s="150"/>
      <c r="P17" s="150"/>
    </row>
    <row r="18" spans="1:16" x14ac:dyDescent="0.25">
      <c r="B18" s="8"/>
      <c r="C18" s="9"/>
      <c r="D18" s="10"/>
      <c r="E18" s="11"/>
      <c r="F18" s="11"/>
      <c r="G18" s="11"/>
      <c r="H18" s="20"/>
      <c r="I18" s="10"/>
      <c r="J18" s="31">
        <f>SUM(I16)</f>
        <v>0</v>
      </c>
      <c r="K18" s="155" t="s">
        <v>24</v>
      </c>
      <c r="L18" s="155"/>
      <c r="M18" s="155"/>
      <c r="N18" s="41">
        <v>5467874</v>
      </c>
      <c r="O18" s="24"/>
    </row>
    <row r="19" spans="1:16" x14ac:dyDescent="0.25">
      <c r="B19" s="3" t="s">
        <v>6</v>
      </c>
      <c r="C19" s="2" t="s">
        <v>9</v>
      </c>
      <c r="D19" s="4">
        <v>32</v>
      </c>
      <c r="E19" s="5">
        <v>0</v>
      </c>
      <c r="F19" s="4">
        <f t="shared" ref="F19:F21" si="4">D19*E19</f>
        <v>0</v>
      </c>
      <c r="G19" s="4">
        <f t="shared" ref="G19:G21" si="5">D19+F19</f>
        <v>32</v>
      </c>
      <c r="H19" s="18">
        <v>1666</v>
      </c>
      <c r="I19" s="4">
        <f>G19*H19</f>
        <v>53312</v>
      </c>
      <c r="K19" s="147" t="s">
        <v>51</v>
      </c>
      <c r="L19" s="147"/>
      <c r="M19" s="147"/>
      <c r="N19" s="12">
        <f>N18*0.2</f>
        <v>1093574.8</v>
      </c>
      <c r="O19" s="151">
        <f>$N$18+N19</f>
        <v>6561448.7999999998</v>
      </c>
      <c r="P19" s="152"/>
    </row>
    <row r="20" spans="1:16" x14ac:dyDescent="0.25">
      <c r="B20" s="3"/>
      <c r="C20" s="2" t="s">
        <v>15</v>
      </c>
      <c r="D20" s="4">
        <v>65</v>
      </c>
      <c r="E20" s="5">
        <v>0</v>
      </c>
      <c r="F20" s="4">
        <f t="shared" si="4"/>
        <v>0</v>
      </c>
      <c r="G20" s="4">
        <f t="shared" si="5"/>
        <v>65</v>
      </c>
      <c r="H20" s="18">
        <v>1666</v>
      </c>
      <c r="I20" s="4">
        <f t="shared" ref="I20:I21" si="6">G20*H20</f>
        <v>108290</v>
      </c>
      <c r="K20" s="147" t="s">
        <v>52</v>
      </c>
      <c r="L20" s="147"/>
      <c r="M20" s="147"/>
      <c r="N20" s="12">
        <f>N18*0.3</f>
        <v>1640362.2</v>
      </c>
      <c r="O20" s="151">
        <f>$N$18+N20</f>
        <v>7108236.2000000002</v>
      </c>
      <c r="P20" s="152"/>
    </row>
    <row r="21" spans="1:16" x14ac:dyDescent="0.25">
      <c r="B21" s="3"/>
      <c r="C21" s="2" t="s">
        <v>20</v>
      </c>
      <c r="D21" s="4">
        <v>55</v>
      </c>
      <c r="E21" s="5">
        <v>0</v>
      </c>
      <c r="F21" s="4">
        <f t="shared" si="4"/>
        <v>0</v>
      </c>
      <c r="G21" s="4">
        <f t="shared" si="5"/>
        <v>55</v>
      </c>
      <c r="H21" s="18">
        <v>1666</v>
      </c>
      <c r="I21" s="4">
        <f t="shared" si="6"/>
        <v>91630</v>
      </c>
      <c r="K21" s="147" t="s">
        <v>53</v>
      </c>
      <c r="L21" s="147"/>
      <c r="M21" s="147"/>
      <c r="N21" s="12">
        <f>N18*0.4</f>
        <v>2187149.6</v>
      </c>
      <c r="O21" s="151">
        <f>$N$18+N21</f>
        <v>7655023.5999999996</v>
      </c>
      <c r="P21" s="152"/>
    </row>
    <row r="22" spans="1:16" x14ac:dyDescent="0.25">
      <c r="B22" s="8"/>
      <c r="C22" s="9"/>
      <c r="D22" s="10"/>
      <c r="E22" s="11"/>
      <c r="F22" s="11"/>
      <c r="G22" s="10"/>
      <c r="H22" s="19"/>
      <c r="I22" s="10"/>
      <c r="J22" s="31">
        <f>SUM(I19:I21)</f>
        <v>253232</v>
      </c>
      <c r="K22" s="147"/>
      <c r="L22" s="147"/>
      <c r="M22" s="147"/>
      <c r="N22" s="12"/>
    </row>
    <row r="23" spans="1:16" x14ac:dyDescent="0.25">
      <c r="B23" s="3" t="s">
        <v>7</v>
      </c>
      <c r="C23" s="2" t="s">
        <v>13</v>
      </c>
      <c r="D23" s="4">
        <v>37</v>
      </c>
      <c r="E23" s="5">
        <v>0</v>
      </c>
      <c r="F23" s="4">
        <f t="shared" ref="F23" si="7">D23*E23</f>
        <v>0</v>
      </c>
      <c r="G23" s="4">
        <f t="shared" ref="G23" si="8">D23+F23</f>
        <v>37</v>
      </c>
      <c r="H23" s="18">
        <v>5000</v>
      </c>
      <c r="I23" s="4">
        <f>G23*H23</f>
        <v>185000</v>
      </c>
      <c r="N23" s="12"/>
    </row>
    <row r="24" spans="1:16" x14ac:dyDescent="0.25">
      <c r="N24" s="12"/>
    </row>
    <row r="25" spans="1:16" x14ac:dyDescent="0.25">
      <c r="B25" s="13"/>
      <c r="C25" s="13"/>
      <c r="D25" s="10"/>
      <c r="E25" s="11"/>
      <c r="F25" s="11"/>
      <c r="G25" s="10"/>
      <c r="H25" s="19">
        <f>SUM(H3:H24)</f>
        <v>24996</v>
      </c>
      <c r="I25" s="10">
        <f>SUM(I3:I23)</f>
        <v>1197626</v>
      </c>
      <c r="J25" s="31">
        <f>SUM(I23)</f>
        <v>185000</v>
      </c>
      <c r="N25" s="12"/>
    </row>
    <row r="28" spans="1:16" ht="63" x14ac:dyDescent="0.25">
      <c r="A28" s="6" t="s">
        <v>31</v>
      </c>
      <c r="B28" s="6" t="s">
        <v>1</v>
      </c>
      <c r="C28" s="6" t="s">
        <v>29</v>
      </c>
      <c r="D28" s="7" t="s">
        <v>23</v>
      </c>
      <c r="E28" s="21" t="s">
        <v>26</v>
      </c>
      <c r="F28" s="21" t="s">
        <v>27</v>
      </c>
      <c r="G28" s="7" t="s">
        <v>28</v>
      </c>
      <c r="H28" s="17" t="s">
        <v>22</v>
      </c>
      <c r="I28" s="7" t="s">
        <v>25</v>
      </c>
      <c r="J28" s="30"/>
    </row>
    <row r="29" spans="1:16" x14ac:dyDescent="0.25">
      <c r="B29" s="3" t="s">
        <v>0</v>
      </c>
      <c r="C29" s="2" t="s">
        <v>3</v>
      </c>
      <c r="D29" s="4">
        <v>121.86</v>
      </c>
      <c r="E29" s="5">
        <v>0</v>
      </c>
      <c r="F29" s="4">
        <f>D29*E29</f>
        <v>0</v>
      </c>
      <c r="G29" s="4">
        <f>D29+F29</f>
        <v>121.86</v>
      </c>
      <c r="H29" s="18">
        <v>1000</v>
      </c>
      <c r="I29" s="4">
        <f>G29*H29</f>
        <v>121860</v>
      </c>
    </row>
    <row r="30" spans="1:16" x14ac:dyDescent="0.25">
      <c r="B30" s="3"/>
      <c r="C30" s="2" t="s">
        <v>16</v>
      </c>
      <c r="D30" s="4">
        <v>112</v>
      </c>
      <c r="E30" s="16">
        <v>0</v>
      </c>
      <c r="F30" s="4">
        <f t="shared" ref="F30:F33" si="9">D30*E30</f>
        <v>0</v>
      </c>
      <c r="G30" s="4">
        <f t="shared" ref="G30:G33" si="10">D30+F30</f>
        <v>112</v>
      </c>
      <c r="H30" s="18">
        <v>1000</v>
      </c>
      <c r="I30" s="4">
        <f t="shared" ref="I30:I33" si="11">G30*H30</f>
        <v>112000</v>
      </c>
    </row>
    <row r="31" spans="1:16" x14ac:dyDescent="0.25">
      <c r="B31" s="3"/>
      <c r="C31" s="2" t="s">
        <v>19</v>
      </c>
      <c r="D31" s="4">
        <v>210</v>
      </c>
      <c r="E31" s="5">
        <v>0</v>
      </c>
      <c r="F31" s="4">
        <f t="shared" si="9"/>
        <v>0</v>
      </c>
      <c r="G31" s="4">
        <f t="shared" si="10"/>
        <v>210</v>
      </c>
      <c r="H31" s="18">
        <v>1000</v>
      </c>
      <c r="I31" s="4">
        <f t="shared" si="11"/>
        <v>210000</v>
      </c>
    </row>
    <row r="32" spans="1:16" x14ac:dyDescent="0.25">
      <c r="B32" s="3"/>
      <c r="C32" s="2" t="s">
        <v>18</v>
      </c>
      <c r="D32" s="4">
        <v>73.94</v>
      </c>
      <c r="E32" s="5">
        <v>0</v>
      </c>
      <c r="F32" s="4">
        <f t="shared" si="9"/>
        <v>0</v>
      </c>
      <c r="G32" s="4">
        <f t="shared" si="10"/>
        <v>73.94</v>
      </c>
      <c r="H32" s="18">
        <v>1000</v>
      </c>
      <c r="I32" s="4">
        <f t="shared" si="11"/>
        <v>73940</v>
      </c>
      <c r="N32" s="12"/>
    </row>
    <row r="33" spans="2:16" x14ac:dyDescent="0.25">
      <c r="B33" s="3"/>
      <c r="C33" s="2" t="s">
        <v>2</v>
      </c>
      <c r="D33" s="4">
        <v>60</v>
      </c>
      <c r="E33" s="5">
        <v>0</v>
      </c>
      <c r="F33" s="4">
        <f t="shared" si="9"/>
        <v>0</v>
      </c>
      <c r="G33" s="4">
        <f t="shared" si="10"/>
        <v>60</v>
      </c>
      <c r="H33" s="18">
        <v>1000</v>
      </c>
      <c r="I33" s="4">
        <f t="shared" si="11"/>
        <v>60000</v>
      </c>
      <c r="K33" s="1"/>
      <c r="L33" s="1"/>
      <c r="M33" s="1"/>
      <c r="N33" s="12"/>
    </row>
    <row r="34" spans="2:16" x14ac:dyDescent="0.25">
      <c r="B34" s="8"/>
      <c r="C34" s="9"/>
      <c r="D34" s="10"/>
      <c r="E34" s="11"/>
      <c r="F34" s="11"/>
      <c r="G34" s="10"/>
      <c r="H34" s="19"/>
      <c r="I34" s="10"/>
      <c r="J34" s="31">
        <f>SUM(I29:I33)</f>
        <v>577800</v>
      </c>
      <c r="N34" t="s">
        <v>0</v>
      </c>
      <c r="P34" s="12">
        <f>J8+J34+J60+J86+J112</f>
        <v>2637657</v>
      </c>
    </row>
    <row r="35" spans="2:16" x14ac:dyDescent="0.25">
      <c r="B35" s="3" t="s">
        <v>4</v>
      </c>
      <c r="C35" s="2" t="s">
        <v>8</v>
      </c>
      <c r="D35" s="4">
        <v>55</v>
      </c>
      <c r="E35" s="5">
        <v>0</v>
      </c>
      <c r="F35" s="4">
        <f t="shared" ref="F35:F40" si="12">D35*E35</f>
        <v>0</v>
      </c>
      <c r="G35" s="4">
        <f t="shared" ref="G35:G40" si="13">D35+F35</f>
        <v>55</v>
      </c>
      <c r="H35" s="18">
        <v>833</v>
      </c>
      <c r="I35" s="4">
        <f>G35*H35</f>
        <v>45815</v>
      </c>
      <c r="N35" t="s">
        <v>4</v>
      </c>
      <c r="P35" s="12">
        <f>J15+J41+J67+J93+J119</f>
        <v>829054</v>
      </c>
    </row>
    <row r="36" spans="2:16" x14ac:dyDescent="0.25">
      <c r="B36" s="3"/>
      <c r="C36" s="2" t="s">
        <v>10</v>
      </c>
      <c r="D36" s="4">
        <v>35</v>
      </c>
      <c r="E36" s="5">
        <v>0</v>
      </c>
      <c r="F36" s="4">
        <f t="shared" si="12"/>
        <v>0</v>
      </c>
      <c r="G36" s="4">
        <f t="shared" si="13"/>
        <v>35</v>
      </c>
      <c r="H36" s="18">
        <v>833</v>
      </c>
      <c r="I36" s="4">
        <f t="shared" ref="I36:I40" si="14">G36*H36</f>
        <v>29155</v>
      </c>
      <c r="N36" t="s">
        <v>5</v>
      </c>
      <c r="P36" s="12">
        <f>J18+J44+J70+J96+J122</f>
        <v>0</v>
      </c>
    </row>
    <row r="37" spans="2:16" x14ac:dyDescent="0.25">
      <c r="B37" s="3"/>
      <c r="C37" s="2" t="s">
        <v>11</v>
      </c>
      <c r="D37" s="4">
        <v>55</v>
      </c>
      <c r="E37" s="5">
        <v>0</v>
      </c>
      <c r="F37" s="4">
        <f t="shared" si="12"/>
        <v>0</v>
      </c>
      <c r="G37" s="4">
        <f t="shared" si="13"/>
        <v>55</v>
      </c>
      <c r="H37" s="18">
        <v>833</v>
      </c>
      <c r="I37" s="4">
        <f t="shared" si="14"/>
        <v>45815</v>
      </c>
      <c r="N37" t="s">
        <v>6</v>
      </c>
      <c r="P37" s="12">
        <f>J22+J48+J74+J100+J126</f>
        <v>1156416</v>
      </c>
    </row>
    <row r="38" spans="2:16" x14ac:dyDescent="0.25">
      <c r="B38" s="3"/>
      <c r="C38" s="2" t="s">
        <v>12</v>
      </c>
      <c r="D38" s="4">
        <v>25</v>
      </c>
      <c r="E38" s="5">
        <v>0</v>
      </c>
      <c r="F38" s="4">
        <f t="shared" si="12"/>
        <v>0</v>
      </c>
      <c r="G38" s="4">
        <f t="shared" si="13"/>
        <v>25</v>
      </c>
      <c r="H38" s="18">
        <v>833</v>
      </c>
      <c r="I38" s="4">
        <f t="shared" si="14"/>
        <v>20825</v>
      </c>
      <c r="N38" t="s">
        <v>7</v>
      </c>
      <c r="P38" s="12">
        <f>J25+J51+J77+J103+J129</f>
        <v>844747</v>
      </c>
    </row>
    <row r="39" spans="2:16" x14ac:dyDescent="0.25">
      <c r="B39" s="3"/>
      <c r="C39" s="2" t="s">
        <v>14</v>
      </c>
      <c r="D39" s="4">
        <v>30</v>
      </c>
      <c r="E39" s="5">
        <v>0</v>
      </c>
      <c r="F39" s="4">
        <f t="shared" si="12"/>
        <v>0</v>
      </c>
      <c r="G39" s="4">
        <f t="shared" si="13"/>
        <v>30</v>
      </c>
      <c r="H39" s="18">
        <v>833</v>
      </c>
      <c r="I39" s="4">
        <f t="shared" si="14"/>
        <v>24990</v>
      </c>
      <c r="P39" s="12">
        <f>SUM(P34:P38)</f>
        <v>5467874</v>
      </c>
    </row>
    <row r="40" spans="2:16" x14ac:dyDescent="0.25">
      <c r="B40" s="3"/>
      <c r="C40" s="2" t="s">
        <v>17</v>
      </c>
      <c r="D40" s="4">
        <v>18</v>
      </c>
      <c r="E40" s="5">
        <v>0</v>
      </c>
      <c r="F40" s="4">
        <f t="shared" si="12"/>
        <v>0</v>
      </c>
      <c r="G40" s="4">
        <f t="shared" si="13"/>
        <v>18</v>
      </c>
      <c r="H40" s="18">
        <v>833</v>
      </c>
      <c r="I40" s="4">
        <f t="shared" si="14"/>
        <v>14994</v>
      </c>
    </row>
    <row r="41" spans="2:16" x14ac:dyDescent="0.25">
      <c r="B41" s="8"/>
      <c r="C41" s="9"/>
      <c r="D41" s="10"/>
      <c r="E41" s="11"/>
      <c r="F41" s="11"/>
      <c r="G41" s="10"/>
      <c r="H41" s="19"/>
      <c r="I41" s="10"/>
      <c r="J41" s="31">
        <f>SUM(I35:I40)</f>
        <v>181594</v>
      </c>
    </row>
    <row r="42" spans="2:16" x14ac:dyDescent="0.25">
      <c r="B42" s="3" t="s">
        <v>5</v>
      </c>
      <c r="C42" s="2"/>
      <c r="D42" s="4">
        <v>0</v>
      </c>
      <c r="E42" s="5">
        <v>0</v>
      </c>
      <c r="F42" s="4">
        <f t="shared" ref="F42" si="15">D42*E42</f>
        <v>0</v>
      </c>
      <c r="G42" s="4">
        <f t="shared" ref="G42" si="16">D42+F42</f>
        <v>0</v>
      </c>
      <c r="H42" s="18">
        <v>5000</v>
      </c>
      <c r="I42" s="4">
        <f>G42*$Q$4</f>
        <v>0</v>
      </c>
    </row>
    <row r="43" spans="2:16" x14ac:dyDescent="0.25">
      <c r="B43" s="3"/>
      <c r="C43" s="2"/>
    </row>
    <row r="44" spans="2:16" x14ac:dyDescent="0.25">
      <c r="B44" s="8"/>
      <c r="C44" s="9"/>
      <c r="D44" s="10"/>
      <c r="E44" s="11"/>
      <c r="F44" s="11"/>
      <c r="G44" s="11"/>
      <c r="H44" s="20"/>
      <c r="I44" s="10"/>
      <c r="J44" s="31">
        <f>SUM(I42)</f>
        <v>0</v>
      </c>
    </row>
    <row r="45" spans="2:16" x14ac:dyDescent="0.25">
      <c r="B45" s="3" t="s">
        <v>6</v>
      </c>
      <c r="C45" s="2" t="s">
        <v>9</v>
      </c>
      <c r="D45" s="4">
        <v>32</v>
      </c>
      <c r="E45" s="5">
        <v>0</v>
      </c>
      <c r="F45" s="4">
        <f t="shared" ref="F45:F47" si="17">D45*E45</f>
        <v>0</v>
      </c>
      <c r="G45" s="4">
        <f t="shared" ref="G45:G47" si="18">D45+F45</f>
        <v>32</v>
      </c>
      <c r="H45" s="18">
        <v>1666</v>
      </c>
      <c r="I45" s="4">
        <f>G45*H45</f>
        <v>53312</v>
      </c>
    </row>
    <row r="46" spans="2:16" x14ac:dyDescent="0.25">
      <c r="B46" s="3"/>
      <c r="C46" s="2" t="s">
        <v>15</v>
      </c>
      <c r="D46" s="4">
        <v>65</v>
      </c>
      <c r="E46" s="5">
        <v>0</v>
      </c>
      <c r="F46" s="4">
        <f t="shared" si="17"/>
        <v>0</v>
      </c>
      <c r="G46" s="4">
        <f t="shared" si="18"/>
        <v>65</v>
      </c>
      <c r="H46" s="18">
        <v>1666</v>
      </c>
      <c r="I46" s="4">
        <f t="shared" ref="I46:I47" si="19">G46*H46</f>
        <v>108290</v>
      </c>
    </row>
    <row r="47" spans="2:16" x14ac:dyDescent="0.25">
      <c r="B47" s="3"/>
      <c r="C47" s="2" t="s">
        <v>20</v>
      </c>
      <c r="D47" s="4">
        <v>55</v>
      </c>
      <c r="E47" s="5">
        <v>0</v>
      </c>
      <c r="F47" s="4">
        <f t="shared" si="17"/>
        <v>0</v>
      </c>
      <c r="G47" s="4">
        <f t="shared" si="18"/>
        <v>55</v>
      </c>
      <c r="H47" s="18">
        <v>1666</v>
      </c>
      <c r="I47" s="4">
        <f t="shared" si="19"/>
        <v>91630</v>
      </c>
    </row>
    <row r="48" spans="2:16" x14ac:dyDescent="0.25">
      <c r="B48" s="8"/>
      <c r="C48" s="9"/>
      <c r="D48" s="10"/>
      <c r="E48" s="11"/>
      <c r="F48" s="11"/>
      <c r="G48" s="10"/>
      <c r="H48" s="19"/>
      <c r="I48" s="10"/>
      <c r="J48" s="31">
        <f>SUM(I45:I47)</f>
        <v>253232</v>
      </c>
    </row>
    <row r="49" spans="1:10" x14ac:dyDescent="0.25">
      <c r="B49" s="3" t="s">
        <v>7</v>
      </c>
      <c r="C49" s="2" t="s">
        <v>13</v>
      </c>
      <c r="D49" s="4">
        <v>37</v>
      </c>
      <c r="E49" s="5">
        <v>0</v>
      </c>
      <c r="F49" s="4">
        <f t="shared" ref="F49" si="20">D49*E49</f>
        <v>0</v>
      </c>
      <c r="G49" s="4">
        <f t="shared" ref="G49" si="21">D49+F49</f>
        <v>37</v>
      </c>
      <c r="H49" s="18">
        <v>5000</v>
      </c>
      <c r="I49" s="4">
        <f>G49*H49</f>
        <v>185000</v>
      </c>
    </row>
    <row r="51" spans="1:10" x14ac:dyDescent="0.25">
      <c r="B51" s="13"/>
      <c r="C51" s="13"/>
      <c r="D51" s="10"/>
      <c r="E51" s="11"/>
      <c r="F51" s="11"/>
      <c r="G51" s="10"/>
      <c r="H51" s="19">
        <f>SUM(H29:H50)</f>
        <v>24996</v>
      </c>
      <c r="I51" s="10">
        <f>SUM(I29:I49)</f>
        <v>1197626</v>
      </c>
      <c r="J51" s="31">
        <f>SUM(I49)</f>
        <v>185000</v>
      </c>
    </row>
    <row r="53" spans="1:10" x14ac:dyDescent="0.25">
      <c r="J53" s="30"/>
    </row>
    <row r="54" spans="1:10" ht="63" x14ac:dyDescent="0.25">
      <c r="A54" s="6" t="s">
        <v>32</v>
      </c>
      <c r="B54" s="6" t="s">
        <v>1</v>
      </c>
      <c r="C54" s="6" t="s">
        <v>29</v>
      </c>
      <c r="D54" s="7" t="s">
        <v>23</v>
      </c>
      <c r="E54" s="21" t="s">
        <v>26</v>
      </c>
      <c r="F54" s="21" t="s">
        <v>27</v>
      </c>
      <c r="G54" s="7" t="s">
        <v>28</v>
      </c>
      <c r="H54" s="17" t="s">
        <v>22</v>
      </c>
      <c r="I54" s="7" t="s">
        <v>25</v>
      </c>
    </row>
    <row r="55" spans="1:10" x14ac:dyDescent="0.25">
      <c r="B55" s="3" t="s">
        <v>0</v>
      </c>
      <c r="C55" s="2" t="s">
        <v>3</v>
      </c>
      <c r="D55" s="4">
        <v>121.86</v>
      </c>
      <c r="E55" s="5">
        <v>0</v>
      </c>
      <c r="F55" s="4">
        <f>D55*E55</f>
        <v>0</v>
      </c>
      <c r="G55" s="4">
        <f>D55+F55</f>
        <v>121.86</v>
      </c>
      <c r="H55" s="18">
        <v>900</v>
      </c>
      <c r="I55" s="4">
        <f>G55*H55</f>
        <v>109674</v>
      </c>
    </row>
    <row r="56" spans="1:10" x14ac:dyDescent="0.25">
      <c r="B56" s="3"/>
      <c r="C56" s="2" t="s">
        <v>16</v>
      </c>
      <c r="D56" s="4">
        <v>112</v>
      </c>
      <c r="E56" s="16">
        <v>0</v>
      </c>
      <c r="F56" s="4">
        <f t="shared" ref="F56:F59" si="22">D56*E56</f>
        <v>0</v>
      </c>
      <c r="G56" s="4">
        <f t="shared" ref="G56:G59" si="23">D56+F56</f>
        <v>112</v>
      </c>
      <c r="H56" s="18">
        <v>900</v>
      </c>
      <c r="I56" s="4">
        <f t="shared" ref="I56:I59" si="24">G56*H56</f>
        <v>100800</v>
      </c>
    </row>
    <row r="57" spans="1:10" x14ac:dyDescent="0.25">
      <c r="B57" s="3"/>
      <c r="C57" s="2" t="s">
        <v>19</v>
      </c>
      <c r="D57" s="4">
        <v>210</v>
      </c>
      <c r="E57" s="5">
        <v>0</v>
      </c>
      <c r="F57" s="4">
        <f t="shared" si="22"/>
        <v>0</v>
      </c>
      <c r="G57" s="4">
        <f t="shared" si="23"/>
        <v>210</v>
      </c>
      <c r="H57" s="18">
        <v>900</v>
      </c>
      <c r="I57" s="4">
        <f t="shared" si="24"/>
        <v>189000</v>
      </c>
    </row>
    <row r="58" spans="1:10" x14ac:dyDescent="0.25">
      <c r="B58" s="3"/>
      <c r="C58" s="2" t="s">
        <v>18</v>
      </c>
      <c r="D58" s="4">
        <v>73.94</v>
      </c>
      <c r="E58" s="5">
        <v>0</v>
      </c>
      <c r="F58" s="4">
        <f t="shared" si="22"/>
        <v>0</v>
      </c>
      <c r="G58" s="4">
        <f t="shared" si="23"/>
        <v>73.94</v>
      </c>
      <c r="H58" s="18">
        <v>900</v>
      </c>
      <c r="I58" s="4">
        <f t="shared" si="24"/>
        <v>66546</v>
      </c>
    </row>
    <row r="59" spans="1:10" x14ac:dyDescent="0.25">
      <c r="B59" s="3"/>
      <c r="C59" s="2" t="s">
        <v>41</v>
      </c>
      <c r="D59" s="4">
        <v>60</v>
      </c>
      <c r="E59" s="5">
        <v>0</v>
      </c>
      <c r="F59" s="4">
        <f t="shared" si="22"/>
        <v>0</v>
      </c>
      <c r="G59" s="4">
        <f t="shared" si="23"/>
        <v>60</v>
      </c>
      <c r="H59" s="18">
        <v>900</v>
      </c>
      <c r="I59" s="4">
        <f t="shared" si="24"/>
        <v>54000</v>
      </c>
    </row>
    <row r="60" spans="1:10" x14ac:dyDescent="0.25">
      <c r="B60" s="8"/>
      <c r="C60" s="9"/>
      <c r="D60" s="10"/>
      <c r="E60" s="11"/>
      <c r="F60" s="11"/>
      <c r="G60" s="10"/>
      <c r="H60" s="19"/>
      <c r="I60" s="10"/>
      <c r="J60" s="31">
        <f>SUM(I55:I59)</f>
        <v>520020</v>
      </c>
    </row>
    <row r="61" spans="1:10" x14ac:dyDescent="0.25">
      <c r="B61" s="3" t="s">
        <v>4</v>
      </c>
      <c r="C61" s="2" t="s">
        <v>8</v>
      </c>
      <c r="D61" s="4">
        <v>55</v>
      </c>
      <c r="E61" s="5">
        <v>0</v>
      </c>
      <c r="F61" s="4">
        <f t="shared" ref="F61:F66" si="25">D61*E61</f>
        <v>0</v>
      </c>
      <c r="G61" s="4">
        <f t="shared" ref="G61:G66" si="26">D61+F61</f>
        <v>55</v>
      </c>
      <c r="H61" s="18">
        <v>750</v>
      </c>
      <c r="I61" s="4">
        <f>G61*H61</f>
        <v>41250</v>
      </c>
    </row>
    <row r="62" spans="1:10" x14ac:dyDescent="0.25">
      <c r="B62" s="3"/>
      <c r="C62" s="2" t="s">
        <v>10</v>
      </c>
      <c r="D62" s="4">
        <v>35</v>
      </c>
      <c r="E62" s="5">
        <v>0</v>
      </c>
      <c r="F62" s="4">
        <f t="shared" si="25"/>
        <v>0</v>
      </c>
      <c r="G62" s="4">
        <f t="shared" si="26"/>
        <v>35</v>
      </c>
      <c r="H62" s="18">
        <v>750</v>
      </c>
      <c r="I62" s="4">
        <f t="shared" ref="I62:I66" si="27">G62*H62</f>
        <v>26250</v>
      </c>
    </row>
    <row r="63" spans="1:10" x14ac:dyDescent="0.25">
      <c r="B63" s="3"/>
      <c r="C63" s="2" t="s">
        <v>11</v>
      </c>
      <c r="D63" s="4">
        <v>55</v>
      </c>
      <c r="E63" s="5">
        <v>0</v>
      </c>
      <c r="F63" s="4">
        <f t="shared" si="25"/>
        <v>0</v>
      </c>
      <c r="G63" s="4">
        <f t="shared" si="26"/>
        <v>55</v>
      </c>
      <c r="H63" s="18">
        <v>750</v>
      </c>
      <c r="I63" s="4">
        <f t="shared" si="27"/>
        <v>41250</v>
      </c>
    </row>
    <row r="64" spans="1:10" x14ac:dyDescent="0.25">
      <c r="B64" s="3"/>
      <c r="C64" s="2" t="s">
        <v>12</v>
      </c>
      <c r="D64" s="4">
        <v>25</v>
      </c>
      <c r="E64" s="5">
        <v>0</v>
      </c>
      <c r="F64" s="4">
        <f t="shared" si="25"/>
        <v>0</v>
      </c>
      <c r="G64" s="4">
        <f t="shared" si="26"/>
        <v>25</v>
      </c>
      <c r="H64" s="18">
        <v>750</v>
      </c>
      <c r="I64" s="4">
        <f t="shared" si="27"/>
        <v>18750</v>
      </c>
    </row>
    <row r="65" spans="1:10" x14ac:dyDescent="0.25">
      <c r="B65" s="3"/>
      <c r="C65" s="2" t="s">
        <v>14</v>
      </c>
      <c r="D65" s="4">
        <v>30</v>
      </c>
      <c r="E65" s="5">
        <v>0</v>
      </c>
      <c r="F65" s="4">
        <f t="shared" si="25"/>
        <v>0</v>
      </c>
      <c r="G65" s="4">
        <f t="shared" si="26"/>
        <v>30</v>
      </c>
      <c r="H65" s="18">
        <v>750</v>
      </c>
      <c r="I65" s="4">
        <f t="shared" si="27"/>
        <v>22500</v>
      </c>
    </row>
    <row r="66" spans="1:10" x14ac:dyDescent="0.25">
      <c r="B66" s="3"/>
      <c r="C66" s="2" t="s">
        <v>17</v>
      </c>
      <c r="D66" s="4">
        <v>18</v>
      </c>
      <c r="E66" s="5">
        <v>0</v>
      </c>
      <c r="F66" s="4">
        <f t="shared" si="25"/>
        <v>0</v>
      </c>
      <c r="G66" s="4">
        <f t="shared" si="26"/>
        <v>18</v>
      </c>
      <c r="H66" s="18">
        <v>750</v>
      </c>
      <c r="I66" s="4">
        <f t="shared" si="27"/>
        <v>13500</v>
      </c>
    </row>
    <row r="67" spans="1:10" x14ac:dyDescent="0.25">
      <c r="B67" s="8"/>
      <c r="C67" s="9"/>
      <c r="D67" s="10"/>
      <c r="E67" s="11"/>
      <c r="F67" s="11"/>
      <c r="G67" s="10"/>
      <c r="H67" s="19"/>
      <c r="I67" s="10"/>
      <c r="J67" s="31">
        <f>SUM(I61:I66)</f>
        <v>163500</v>
      </c>
    </row>
    <row r="68" spans="1:10" x14ac:dyDescent="0.25">
      <c r="B68" s="3" t="s">
        <v>5</v>
      </c>
      <c r="C68" s="2"/>
      <c r="D68" s="4">
        <v>0</v>
      </c>
      <c r="E68" s="5">
        <v>0</v>
      </c>
      <c r="F68" s="4">
        <f t="shared" ref="F68" si="28">D68*E68</f>
        <v>0</v>
      </c>
      <c r="G68" s="4">
        <f t="shared" ref="G68" si="29">D68+F68</f>
        <v>0</v>
      </c>
      <c r="H68" s="18">
        <v>4503</v>
      </c>
      <c r="I68" s="4">
        <f>G68*$Q$4</f>
        <v>0</v>
      </c>
    </row>
    <row r="69" spans="1:10" x14ac:dyDescent="0.25">
      <c r="B69" s="3"/>
      <c r="C69" s="2"/>
    </row>
    <row r="70" spans="1:10" x14ac:dyDescent="0.25">
      <c r="B70" s="8"/>
      <c r="C70" s="9"/>
      <c r="D70" s="10"/>
      <c r="E70" s="11"/>
      <c r="F70" s="11"/>
      <c r="G70" s="11"/>
      <c r="H70" s="20"/>
      <c r="I70" s="10"/>
      <c r="J70" s="31">
        <f>SUM(I68)</f>
        <v>0</v>
      </c>
    </row>
    <row r="71" spans="1:10" x14ac:dyDescent="0.25">
      <c r="B71" s="3" t="s">
        <v>6</v>
      </c>
      <c r="C71" s="2" t="s">
        <v>9</v>
      </c>
      <c r="D71" s="4">
        <v>32</v>
      </c>
      <c r="E71" s="5">
        <v>0</v>
      </c>
      <c r="F71" s="4">
        <f t="shared" ref="F71:F73" si="30">D71*E71</f>
        <v>0</v>
      </c>
      <c r="G71" s="4">
        <f t="shared" ref="G71:G73" si="31">D71+F71</f>
        <v>32</v>
      </c>
      <c r="H71" s="18">
        <v>1501</v>
      </c>
      <c r="I71" s="4">
        <f>G71*H71</f>
        <v>48032</v>
      </c>
    </row>
    <row r="72" spans="1:10" x14ac:dyDescent="0.25">
      <c r="B72" s="3"/>
      <c r="C72" s="2" t="s">
        <v>15</v>
      </c>
      <c r="D72" s="4">
        <v>65</v>
      </c>
      <c r="E72" s="5">
        <v>0</v>
      </c>
      <c r="F72" s="4">
        <f t="shared" si="30"/>
        <v>0</v>
      </c>
      <c r="G72" s="4">
        <f t="shared" si="31"/>
        <v>65</v>
      </c>
      <c r="H72" s="18">
        <v>1501</v>
      </c>
      <c r="I72" s="4">
        <f t="shared" ref="I72:I73" si="32">G72*H72</f>
        <v>97565</v>
      </c>
    </row>
    <row r="73" spans="1:10" x14ac:dyDescent="0.25">
      <c r="B73" s="3"/>
      <c r="C73" s="2" t="s">
        <v>20</v>
      </c>
      <c r="D73" s="4">
        <v>55</v>
      </c>
      <c r="E73" s="5">
        <v>0</v>
      </c>
      <c r="F73" s="4">
        <f t="shared" si="30"/>
        <v>0</v>
      </c>
      <c r="G73" s="4">
        <f t="shared" si="31"/>
        <v>55</v>
      </c>
      <c r="H73" s="18">
        <v>1501</v>
      </c>
      <c r="I73" s="4">
        <f t="shared" si="32"/>
        <v>82555</v>
      </c>
    </row>
    <row r="74" spans="1:10" x14ac:dyDescent="0.25">
      <c r="B74" s="8"/>
      <c r="C74" s="9"/>
      <c r="D74" s="10"/>
      <c r="E74" s="11"/>
      <c r="F74" s="11"/>
      <c r="G74" s="10"/>
      <c r="H74" s="19"/>
      <c r="I74" s="10"/>
      <c r="J74" s="31">
        <f>SUM(I71:I73)</f>
        <v>228152</v>
      </c>
    </row>
    <row r="75" spans="1:10" x14ac:dyDescent="0.25">
      <c r="B75" s="3" t="s">
        <v>7</v>
      </c>
      <c r="C75" s="2" t="s">
        <v>13</v>
      </c>
      <c r="D75" s="4">
        <v>37</v>
      </c>
      <c r="E75" s="5">
        <v>0</v>
      </c>
      <c r="F75" s="4">
        <f t="shared" ref="F75" si="33">D75*E75</f>
        <v>0</v>
      </c>
      <c r="G75" s="4">
        <f t="shared" ref="G75" si="34">D75+F75</f>
        <v>37</v>
      </c>
      <c r="H75" s="18">
        <v>4503</v>
      </c>
      <c r="I75" s="4">
        <f>G75*H75</f>
        <v>166611</v>
      </c>
    </row>
    <row r="77" spans="1:10" x14ac:dyDescent="0.25">
      <c r="B77" s="13"/>
      <c r="C77" s="13"/>
      <c r="D77" s="10"/>
      <c r="E77" s="11"/>
      <c r="F77" s="11"/>
      <c r="G77" s="10"/>
      <c r="H77" s="19">
        <f>SUM(H55:H76)</f>
        <v>22509</v>
      </c>
      <c r="I77" s="10">
        <f>SUM(I55:I75)</f>
        <v>1078283</v>
      </c>
      <c r="J77" s="31">
        <f>SUM(I75)</f>
        <v>166611</v>
      </c>
    </row>
    <row r="78" spans="1:10" x14ac:dyDescent="0.25">
      <c r="J78" s="30"/>
    </row>
    <row r="80" spans="1:10" ht="63" x14ac:dyDescent="0.25">
      <c r="A80" s="6" t="s">
        <v>33</v>
      </c>
      <c r="B80" s="6" t="s">
        <v>1</v>
      </c>
      <c r="C80" s="6" t="s">
        <v>29</v>
      </c>
      <c r="D80" s="7" t="s">
        <v>23</v>
      </c>
      <c r="E80" s="21" t="s">
        <v>26</v>
      </c>
      <c r="F80" s="21" t="s">
        <v>27</v>
      </c>
      <c r="G80" s="7" t="s">
        <v>28</v>
      </c>
      <c r="H80" s="17" t="s">
        <v>22</v>
      </c>
      <c r="I80" s="7" t="s">
        <v>25</v>
      </c>
    </row>
    <row r="81" spans="2:10" x14ac:dyDescent="0.25">
      <c r="B81" s="3" t="s">
        <v>0</v>
      </c>
      <c r="C81" s="2" t="s">
        <v>3</v>
      </c>
      <c r="D81" s="4">
        <v>121.86</v>
      </c>
      <c r="E81" s="5">
        <v>0</v>
      </c>
      <c r="F81" s="4">
        <f>D81*E81</f>
        <v>0</v>
      </c>
      <c r="G81" s="4">
        <f>D81+F81</f>
        <v>121.86</v>
      </c>
      <c r="H81" s="18">
        <v>854</v>
      </c>
      <c r="I81" s="4">
        <f>G81*H81</f>
        <v>104068.44</v>
      </c>
    </row>
    <row r="82" spans="2:10" x14ac:dyDescent="0.25">
      <c r="B82" s="3"/>
      <c r="C82" s="2" t="s">
        <v>16</v>
      </c>
      <c r="D82" s="4">
        <v>112</v>
      </c>
      <c r="E82" s="16">
        <v>0</v>
      </c>
      <c r="F82" s="4">
        <f t="shared" ref="F82:F85" si="35">D82*E82</f>
        <v>0</v>
      </c>
      <c r="G82" s="4">
        <f t="shared" ref="G82:G85" si="36">D82+F82</f>
        <v>112</v>
      </c>
      <c r="H82" s="18">
        <v>854</v>
      </c>
      <c r="I82" s="4">
        <f t="shared" ref="I82:I85" si="37">G82*H82</f>
        <v>95648</v>
      </c>
    </row>
    <row r="83" spans="2:10" x14ac:dyDescent="0.25">
      <c r="B83" s="3"/>
      <c r="C83" s="2" t="s">
        <v>19</v>
      </c>
      <c r="D83" s="4">
        <v>210</v>
      </c>
      <c r="E83" s="5">
        <v>0</v>
      </c>
      <c r="F83" s="4">
        <f t="shared" si="35"/>
        <v>0</v>
      </c>
      <c r="G83" s="4">
        <f t="shared" si="36"/>
        <v>210</v>
      </c>
      <c r="H83" s="18">
        <v>854</v>
      </c>
      <c r="I83" s="4">
        <f t="shared" si="37"/>
        <v>179340</v>
      </c>
    </row>
    <row r="84" spans="2:10" x14ac:dyDescent="0.25">
      <c r="B84" s="3"/>
      <c r="C84" s="2" t="s">
        <v>18</v>
      </c>
      <c r="D84" s="4">
        <v>73.94</v>
      </c>
      <c r="E84" s="5">
        <v>0</v>
      </c>
      <c r="F84" s="4">
        <f t="shared" si="35"/>
        <v>0</v>
      </c>
      <c r="G84" s="4">
        <f t="shared" si="36"/>
        <v>73.94</v>
      </c>
      <c r="H84" s="18">
        <v>854</v>
      </c>
      <c r="I84" s="4">
        <f t="shared" si="37"/>
        <v>63144.759999999995</v>
      </c>
    </row>
    <row r="85" spans="2:10" x14ac:dyDescent="0.25">
      <c r="B85" s="3"/>
      <c r="C85" s="2" t="s">
        <v>2</v>
      </c>
      <c r="D85" s="4">
        <v>60</v>
      </c>
      <c r="E85" s="5">
        <v>0</v>
      </c>
      <c r="F85" s="4">
        <f t="shared" si="35"/>
        <v>0</v>
      </c>
      <c r="G85" s="4">
        <f t="shared" si="36"/>
        <v>60</v>
      </c>
      <c r="H85" s="18">
        <v>854</v>
      </c>
      <c r="I85" s="4">
        <f t="shared" si="37"/>
        <v>51240</v>
      </c>
    </row>
    <row r="86" spans="2:10" x14ac:dyDescent="0.25">
      <c r="B86" s="8"/>
      <c r="C86" s="9"/>
      <c r="D86" s="10"/>
      <c r="E86" s="11"/>
      <c r="F86" s="11"/>
      <c r="G86" s="10"/>
      <c r="H86" s="19"/>
      <c r="I86" s="10"/>
      <c r="J86" s="31">
        <f>SUM(I81:I85)</f>
        <v>493441.2</v>
      </c>
    </row>
    <row r="87" spans="2:10" x14ac:dyDescent="0.25">
      <c r="B87" s="3" t="s">
        <v>4</v>
      </c>
      <c r="C87" s="2" t="s">
        <v>8</v>
      </c>
      <c r="D87" s="4">
        <v>55</v>
      </c>
      <c r="E87" s="5">
        <v>0</v>
      </c>
      <c r="F87" s="4">
        <f t="shared" ref="F87:F92" si="38">D87*E87</f>
        <v>0</v>
      </c>
      <c r="G87" s="4">
        <f t="shared" ref="G87:G92" si="39">D87+F87</f>
        <v>55</v>
      </c>
      <c r="H87" s="18">
        <v>712</v>
      </c>
      <c r="I87" s="4">
        <f>G87*H87</f>
        <v>39160</v>
      </c>
    </row>
    <row r="88" spans="2:10" x14ac:dyDescent="0.25">
      <c r="B88" s="3"/>
      <c r="C88" s="2" t="s">
        <v>10</v>
      </c>
      <c r="D88" s="4">
        <v>35</v>
      </c>
      <c r="E88" s="5">
        <v>0</v>
      </c>
      <c r="F88" s="4">
        <f t="shared" si="38"/>
        <v>0</v>
      </c>
      <c r="G88" s="4">
        <f t="shared" si="39"/>
        <v>35</v>
      </c>
      <c r="H88" s="18">
        <v>712</v>
      </c>
      <c r="I88" s="4">
        <f t="shared" ref="I88:I92" si="40">G88*H88</f>
        <v>24920</v>
      </c>
    </row>
    <row r="89" spans="2:10" x14ac:dyDescent="0.25">
      <c r="B89" s="3"/>
      <c r="C89" s="2" t="s">
        <v>11</v>
      </c>
      <c r="D89" s="4">
        <v>55</v>
      </c>
      <c r="E89" s="5">
        <v>0</v>
      </c>
      <c r="F89" s="4">
        <f t="shared" si="38"/>
        <v>0</v>
      </c>
      <c r="G89" s="4">
        <f t="shared" si="39"/>
        <v>55</v>
      </c>
      <c r="H89" s="18">
        <v>712</v>
      </c>
      <c r="I89" s="4">
        <f t="shared" si="40"/>
        <v>39160</v>
      </c>
    </row>
    <row r="90" spans="2:10" x14ac:dyDescent="0.25">
      <c r="B90" s="3"/>
      <c r="C90" s="2" t="s">
        <v>12</v>
      </c>
      <c r="D90" s="4">
        <v>25</v>
      </c>
      <c r="E90" s="5">
        <v>0</v>
      </c>
      <c r="F90" s="4">
        <f t="shared" si="38"/>
        <v>0</v>
      </c>
      <c r="G90" s="4">
        <f t="shared" si="39"/>
        <v>25</v>
      </c>
      <c r="H90" s="18">
        <v>712</v>
      </c>
      <c r="I90" s="4">
        <f t="shared" si="40"/>
        <v>17800</v>
      </c>
    </row>
    <row r="91" spans="2:10" x14ac:dyDescent="0.25">
      <c r="B91" s="3"/>
      <c r="C91" s="2" t="s">
        <v>14</v>
      </c>
      <c r="D91" s="4">
        <v>30</v>
      </c>
      <c r="E91" s="5">
        <v>0</v>
      </c>
      <c r="F91" s="4">
        <f t="shared" si="38"/>
        <v>0</v>
      </c>
      <c r="G91" s="4">
        <f t="shared" si="39"/>
        <v>30</v>
      </c>
      <c r="H91" s="18">
        <v>712</v>
      </c>
      <c r="I91" s="4">
        <f t="shared" si="40"/>
        <v>21360</v>
      </c>
    </row>
    <row r="92" spans="2:10" x14ac:dyDescent="0.25">
      <c r="B92" s="3"/>
      <c r="C92" s="2" t="s">
        <v>17</v>
      </c>
      <c r="D92" s="4">
        <v>18</v>
      </c>
      <c r="E92" s="5">
        <v>0</v>
      </c>
      <c r="F92" s="4">
        <f t="shared" si="38"/>
        <v>0</v>
      </c>
      <c r="G92" s="4">
        <f t="shared" si="39"/>
        <v>18</v>
      </c>
      <c r="H92" s="18">
        <v>712</v>
      </c>
      <c r="I92" s="4">
        <f t="shared" si="40"/>
        <v>12816</v>
      </c>
    </row>
    <row r="93" spans="2:10" x14ac:dyDescent="0.25">
      <c r="B93" s="8"/>
      <c r="C93" s="9"/>
      <c r="D93" s="10"/>
      <c r="E93" s="11"/>
      <c r="F93" s="11"/>
      <c r="G93" s="10"/>
      <c r="H93" s="19"/>
      <c r="I93" s="10"/>
      <c r="J93" s="31">
        <f>SUM(I87:I92)</f>
        <v>155216</v>
      </c>
    </row>
    <row r="94" spans="2:10" x14ac:dyDescent="0.25">
      <c r="B94" s="3" t="s">
        <v>5</v>
      </c>
      <c r="C94" s="2"/>
      <c r="D94" s="4">
        <v>0</v>
      </c>
      <c r="E94" s="5">
        <v>0</v>
      </c>
      <c r="F94" s="4">
        <f t="shared" ref="F94" si="41">D94*E94</f>
        <v>0</v>
      </c>
      <c r="G94" s="4">
        <f t="shared" ref="G94" si="42">D94+F94</f>
        <v>0</v>
      </c>
      <c r="H94" s="18">
        <v>4273</v>
      </c>
      <c r="I94" s="4">
        <f>G94*$Q$4</f>
        <v>0</v>
      </c>
    </row>
    <row r="95" spans="2:10" x14ac:dyDescent="0.25">
      <c r="B95" s="3"/>
      <c r="C95" s="2"/>
    </row>
    <row r="96" spans="2:10" x14ac:dyDescent="0.25">
      <c r="B96" s="8"/>
      <c r="C96" s="9"/>
      <c r="D96" s="10"/>
      <c r="E96" s="11"/>
      <c r="F96" s="11"/>
      <c r="G96" s="11"/>
      <c r="H96" s="20"/>
      <c r="I96" s="10"/>
      <c r="J96" s="31">
        <f>SUM(I94)</f>
        <v>0</v>
      </c>
    </row>
    <row r="97" spans="1:10" x14ac:dyDescent="0.25">
      <c r="B97" s="3" t="s">
        <v>6</v>
      </c>
      <c r="C97" s="2" t="s">
        <v>9</v>
      </c>
      <c r="D97" s="4">
        <v>32</v>
      </c>
      <c r="E97" s="5">
        <v>0</v>
      </c>
      <c r="F97" s="4">
        <f t="shared" ref="F97:F99" si="43">D97*E97</f>
        <v>0</v>
      </c>
      <c r="G97" s="4">
        <f t="shared" ref="G97:G99" si="44">D97+F97</f>
        <v>32</v>
      </c>
      <c r="H97" s="18">
        <v>1424</v>
      </c>
      <c r="I97" s="4">
        <f>G97*H97</f>
        <v>45568</v>
      </c>
    </row>
    <row r="98" spans="1:10" x14ac:dyDescent="0.25">
      <c r="B98" s="3"/>
      <c r="C98" s="2" t="s">
        <v>15</v>
      </c>
      <c r="D98" s="4">
        <v>65</v>
      </c>
      <c r="E98" s="5">
        <v>0</v>
      </c>
      <c r="F98" s="4">
        <f t="shared" si="43"/>
        <v>0</v>
      </c>
      <c r="G98" s="4">
        <f t="shared" si="44"/>
        <v>65</v>
      </c>
      <c r="H98" s="18">
        <v>1424</v>
      </c>
      <c r="I98" s="4">
        <f t="shared" ref="I98:I99" si="45">G98*H98</f>
        <v>92560</v>
      </c>
    </row>
    <row r="99" spans="1:10" x14ac:dyDescent="0.25">
      <c r="B99" s="3"/>
      <c r="C99" s="2" t="s">
        <v>20</v>
      </c>
      <c r="D99" s="4">
        <v>55</v>
      </c>
      <c r="E99" s="5">
        <v>0</v>
      </c>
      <c r="F99" s="4">
        <f t="shared" si="43"/>
        <v>0</v>
      </c>
      <c r="G99" s="4">
        <f t="shared" si="44"/>
        <v>55</v>
      </c>
      <c r="H99" s="18">
        <v>1424</v>
      </c>
      <c r="I99" s="4">
        <f t="shared" si="45"/>
        <v>78320</v>
      </c>
    </row>
    <row r="100" spans="1:10" x14ac:dyDescent="0.25">
      <c r="B100" s="8"/>
      <c r="C100" s="9"/>
      <c r="D100" s="10"/>
      <c r="E100" s="11"/>
      <c r="F100" s="11"/>
      <c r="G100" s="10"/>
      <c r="H100" s="19"/>
      <c r="I100" s="10"/>
      <c r="J100" s="31">
        <f>SUM(I97:I99)</f>
        <v>216448</v>
      </c>
    </row>
    <row r="101" spans="1:10" x14ac:dyDescent="0.25">
      <c r="B101" s="3" t="s">
        <v>7</v>
      </c>
      <c r="C101" s="2" t="s">
        <v>13</v>
      </c>
      <c r="D101" s="4">
        <v>37</v>
      </c>
      <c r="E101" s="5">
        <v>0</v>
      </c>
      <c r="F101" s="4">
        <f t="shared" ref="F101" si="46">D101*E101</f>
        <v>0</v>
      </c>
      <c r="G101" s="4">
        <f t="shared" ref="G101" si="47">D101+F101</f>
        <v>37</v>
      </c>
      <c r="H101" s="18">
        <v>4273</v>
      </c>
      <c r="I101" s="4">
        <f>G101*H101</f>
        <v>158101</v>
      </c>
    </row>
    <row r="103" spans="1:10" x14ac:dyDescent="0.25">
      <c r="B103" s="13"/>
      <c r="C103" s="13"/>
      <c r="D103" s="10"/>
      <c r="E103" s="11"/>
      <c r="F103" s="11"/>
      <c r="G103" s="10"/>
      <c r="H103" s="19">
        <f>SUM(H81:H102)</f>
        <v>21360</v>
      </c>
      <c r="I103" s="10">
        <f>SUM(I81:I101)</f>
        <v>1023206.2</v>
      </c>
      <c r="J103" s="32">
        <f>SUM(I101)</f>
        <v>158101</v>
      </c>
    </row>
    <row r="106" spans="1:10" ht="63" x14ac:dyDescent="0.25">
      <c r="A106" s="6" t="s">
        <v>34</v>
      </c>
      <c r="B106" s="6" t="s">
        <v>1</v>
      </c>
      <c r="C106" s="25" t="s">
        <v>29</v>
      </c>
      <c r="D106" s="7" t="s">
        <v>23</v>
      </c>
      <c r="E106" s="21" t="s">
        <v>26</v>
      </c>
      <c r="F106" s="21" t="s">
        <v>27</v>
      </c>
      <c r="G106" s="7" t="s">
        <v>28</v>
      </c>
      <c r="H106" s="17" t="s">
        <v>22</v>
      </c>
      <c r="I106" s="7" t="s">
        <v>25</v>
      </c>
    </row>
    <row r="107" spans="1:10" x14ac:dyDescent="0.25">
      <c r="B107" s="3" t="s">
        <v>0</v>
      </c>
      <c r="C107" s="2" t="s">
        <v>3</v>
      </c>
      <c r="D107" s="4">
        <v>121.86</v>
      </c>
      <c r="E107" s="5">
        <v>0</v>
      </c>
      <c r="F107" s="4">
        <f>D107*E107</f>
        <v>0</v>
      </c>
      <c r="G107" s="4">
        <f>D107+F107</f>
        <v>121.86</v>
      </c>
      <c r="H107" s="18">
        <v>811</v>
      </c>
      <c r="I107" s="4">
        <f>G107*H107</f>
        <v>98828.46</v>
      </c>
    </row>
    <row r="108" spans="1:10" x14ac:dyDescent="0.25">
      <c r="B108" s="3"/>
      <c r="C108" s="2" t="s">
        <v>16</v>
      </c>
      <c r="D108" s="4">
        <v>112</v>
      </c>
      <c r="E108" s="16">
        <v>0</v>
      </c>
      <c r="F108" s="4">
        <f t="shared" ref="F108:F111" si="48">D108*E108</f>
        <v>0</v>
      </c>
      <c r="G108" s="4">
        <f t="shared" ref="G108:G111" si="49">D108+F108</f>
        <v>112</v>
      </c>
      <c r="H108" s="18">
        <v>811</v>
      </c>
      <c r="I108" s="4">
        <f t="shared" ref="I108:I111" si="50">G108*H108</f>
        <v>90832</v>
      </c>
    </row>
    <row r="109" spans="1:10" x14ac:dyDescent="0.25">
      <c r="B109" s="3"/>
      <c r="C109" s="2" t="s">
        <v>19</v>
      </c>
      <c r="D109" s="4">
        <v>210</v>
      </c>
      <c r="E109" s="5">
        <v>0</v>
      </c>
      <c r="F109" s="4">
        <f t="shared" si="48"/>
        <v>0</v>
      </c>
      <c r="G109" s="4">
        <f t="shared" si="49"/>
        <v>210</v>
      </c>
      <c r="H109" s="18">
        <v>811</v>
      </c>
      <c r="I109" s="4">
        <f t="shared" si="50"/>
        <v>170310</v>
      </c>
    </row>
    <row r="110" spans="1:10" x14ac:dyDescent="0.25">
      <c r="B110" s="3"/>
      <c r="C110" s="2" t="s">
        <v>18</v>
      </c>
      <c r="D110" s="4">
        <v>73.94</v>
      </c>
      <c r="E110" s="5">
        <v>0</v>
      </c>
      <c r="F110" s="4">
        <f t="shared" si="48"/>
        <v>0</v>
      </c>
      <c r="G110" s="4">
        <f t="shared" si="49"/>
        <v>73.94</v>
      </c>
      <c r="H110" s="18">
        <v>811</v>
      </c>
      <c r="I110" s="4">
        <f t="shared" si="50"/>
        <v>59965.34</v>
      </c>
    </row>
    <row r="111" spans="1:10" x14ac:dyDescent="0.25">
      <c r="B111" s="3"/>
      <c r="C111" s="2" t="s">
        <v>2</v>
      </c>
      <c r="D111" s="4">
        <v>60</v>
      </c>
      <c r="E111" s="5">
        <v>0</v>
      </c>
      <c r="F111" s="4">
        <f t="shared" si="48"/>
        <v>0</v>
      </c>
      <c r="G111" s="4">
        <f t="shared" si="49"/>
        <v>60</v>
      </c>
      <c r="H111" s="18">
        <v>811</v>
      </c>
      <c r="I111" s="4">
        <f t="shared" si="50"/>
        <v>48660</v>
      </c>
    </row>
    <row r="112" spans="1:10" x14ac:dyDescent="0.25">
      <c r="B112" s="8"/>
      <c r="C112" s="9"/>
      <c r="D112" s="10"/>
      <c r="E112" s="11"/>
      <c r="F112" s="11"/>
      <c r="G112" s="10"/>
      <c r="H112" s="19"/>
      <c r="I112" s="10"/>
      <c r="J112" s="31">
        <f>SUM(I107:I111)</f>
        <v>468595.80000000005</v>
      </c>
    </row>
    <row r="113" spans="2:10" x14ac:dyDescent="0.25">
      <c r="B113" s="3" t="s">
        <v>4</v>
      </c>
      <c r="C113" s="2" t="s">
        <v>8</v>
      </c>
      <c r="D113" s="4">
        <v>55</v>
      </c>
      <c r="E113" s="5">
        <v>0</v>
      </c>
      <c r="F113" s="4">
        <f t="shared" ref="F113:F118" si="51">D113*E113</f>
        <v>0</v>
      </c>
      <c r="G113" s="4">
        <f t="shared" ref="G113:G118" si="52">D113+F113</f>
        <v>55</v>
      </c>
      <c r="H113" s="18">
        <v>675</v>
      </c>
      <c r="I113" s="4">
        <f>G113*H113</f>
        <v>37125</v>
      </c>
    </row>
    <row r="114" spans="2:10" x14ac:dyDescent="0.25">
      <c r="B114" s="3"/>
      <c r="C114" s="2" t="s">
        <v>10</v>
      </c>
      <c r="D114" s="4">
        <v>35</v>
      </c>
      <c r="E114" s="5">
        <v>0</v>
      </c>
      <c r="F114" s="4">
        <f t="shared" si="51"/>
        <v>0</v>
      </c>
      <c r="G114" s="4">
        <f t="shared" si="52"/>
        <v>35</v>
      </c>
      <c r="H114" s="18">
        <v>675</v>
      </c>
      <c r="I114" s="4">
        <f t="shared" ref="I114:I118" si="53">G114*H114</f>
        <v>23625</v>
      </c>
    </row>
    <row r="115" spans="2:10" x14ac:dyDescent="0.25">
      <c r="B115" s="3"/>
      <c r="C115" s="2" t="s">
        <v>11</v>
      </c>
      <c r="D115" s="4">
        <v>55</v>
      </c>
      <c r="E115" s="5">
        <v>0</v>
      </c>
      <c r="F115" s="4">
        <f t="shared" si="51"/>
        <v>0</v>
      </c>
      <c r="G115" s="4">
        <f t="shared" si="52"/>
        <v>55</v>
      </c>
      <c r="H115" s="18">
        <v>675</v>
      </c>
      <c r="I115" s="4">
        <f t="shared" si="53"/>
        <v>37125</v>
      </c>
    </row>
    <row r="116" spans="2:10" x14ac:dyDescent="0.25">
      <c r="B116" s="3"/>
      <c r="C116" s="2" t="s">
        <v>12</v>
      </c>
      <c r="D116" s="4">
        <v>25</v>
      </c>
      <c r="E116" s="5">
        <v>0</v>
      </c>
      <c r="F116" s="4">
        <f t="shared" si="51"/>
        <v>0</v>
      </c>
      <c r="G116" s="4">
        <f t="shared" si="52"/>
        <v>25</v>
      </c>
      <c r="H116" s="18">
        <v>675</v>
      </c>
      <c r="I116" s="4">
        <f t="shared" si="53"/>
        <v>16875</v>
      </c>
    </row>
    <row r="117" spans="2:10" x14ac:dyDescent="0.25">
      <c r="B117" s="3"/>
      <c r="C117" s="2" t="s">
        <v>14</v>
      </c>
      <c r="D117" s="4">
        <v>30</v>
      </c>
      <c r="E117" s="5">
        <v>0</v>
      </c>
      <c r="F117" s="4">
        <f t="shared" si="51"/>
        <v>0</v>
      </c>
      <c r="G117" s="4">
        <f t="shared" si="52"/>
        <v>30</v>
      </c>
      <c r="H117" s="18">
        <v>675</v>
      </c>
      <c r="I117" s="4">
        <f t="shared" si="53"/>
        <v>20250</v>
      </c>
    </row>
    <row r="118" spans="2:10" x14ac:dyDescent="0.25">
      <c r="B118" s="3"/>
      <c r="C118" s="2" t="s">
        <v>17</v>
      </c>
      <c r="D118" s="4">
        <v>18</v>
      </c>
      <c r="E118" s="5">
        <v>0</v>
      </c>
      <c r="F118" s="4">
        <f t="shared" si="51"/>
        <v>0</v>
      </c>
      <c r="G118" s="4">
        <f t="shared" si="52"/>
        <v>18</v>
      </c>
      <c r="H118" s="18">
        <v>675</v>
      </c>
      <c r="I118" s="4">
        <f t="shared" si="53"/>
        <v>12150</v>
      </c>
    </row>
    <row r="119" spans="2:10" x14ac:dyDescent="0.25">
      <c r="B119" s="8"/>
      <c r="C119" s="9"/>
      <c r="D119" s="10"/>
      <c r="E119" s="11"/>
      <c r="F119" s="11"/>
      <c r="G119" s="10"/>
      <c r="H119" s="19"/>
      <c r="I119" s="10"/>
      <c r="J119" s="31">
        <f>SUM(I113:I118)</f>
        <v>147150</v>
      </c>
    </row>
    <row r="120" spans="2:10" x14ac:dyDescent="0.25">
      <c r="B120" s="3" t="s">
        <v>5</v>
      </c>
      <c r="C120" s="2"/>
      <c r="D120" s="4">
        <v>0</v>
      </c>
      <c r="E120" s="5">
        <v>0</v>
      </c>
      <c r="F120" s="4">
        <f t="shared" ref="F120" si="54">D120*E120</f>
        <v>0</v>
      </c>
      <c r="G120" s="4">
        <f t="shared" ref="G120" si="55">D120+F120</f>
        <v>0</v>
      </c>
      <c r="H120" s="18">
        <v>4055</v>
      </c>
      <c r="I120" s="4">
        <f>G120*$Q$4</f>
        <v>0</v>
      </c>
    </row>
    <row r="121" spans="2:10" x14ac:dyDescent="0.25">
      <c r="B121" s="3"/>
      <c r="C121" s="2"/>
    </row>
    <row r="122" spans="2:10" x14ac:dyDescent="0.25">
      <c r="B122" s="8"/>
      <c r="C122" s="9"/>
      <c r="D122" s="10"/>
      <c r="E122" s="11"/>
      <c r="F122" s="11"/>
      <c r="G122" s="11"/>
      <c r="H122" s="20"/>
      <c r="I122" s="10"/>
      <c r="J122" s="31">
        <f>SUM(I120)</f>
        <v>0</v>
      </c>
    </row>
    <row r="123" spans="2:10" x14ac:dyDescent="0.25">
      <c r="B123" s="3" t="s">
        <v>6</v>
      </c>
      <c r="C123" s="2" t="s">
        <v>9</v>
      </c>
      <c r="D123" s="4">
        <v>32</v>
      </c>
      <c r="E123" s="5">
        <v>0</v>
      </c>
      <c r="F123" s="4">
        <f t="shared" ref="F123:F125" si="56">D123*E123</f>
        <v>0</v>
      </c>
      <c r="G123" s="4">
        <f t="shared" ref="G123:G125" si="57">D123+F123</f>
        <v>32</v>
      </c>
      <c r="H123" s="18">
        <v>1351</v>
      </c>
      <c r="I123" s="4">
        <f>G123*H123</f>
        <v>43232</v>
      </c>
    </row>
    <row r="124" spans="2:10" x14ac:dyDescent="0.25">
      <c r="B124" s="3"/>
      <c r="C124" s="2" t="s">
        <v>15</v>
      </c>
      <c r="D124" s="4">
        <v>65</v>
      </c>
      <c r="E124" s="5">
        <v>0</v>
      </c>
      <c r="F124" s="4">
        <f t="shared" si="56"/>
        <v>0</v>
      </c>
      <c r="G124" s="4">
        <f t="shared" si="57"/>
        <v>65</v>
      </c>
      <c r="H124" s="18">
        <v>1351</v>
      </c>
      <c r="I124" s="4">
        <f t="shared" ref="I124:I125" si="58">G124*H124</f>
        <v>87815</v>
      </c>
    </row>
    <row r="125" spans="2:10" x14ac:dyDescent="0.25">
      <c r="B125" s="3"/>
      <c r="C125" s="2" t="s">
        <v>20</v>
      </c>
      <c r="D125" s="4">
        <v>55</v>
      </c>
      <c r="E125" s="5">
        <v>0</v>
      </c>
      <c r="F125" s="4">
        <f t="shared" si="56"/>
        <v>0</v>
      </c>
      <c r="G125" s="4">
        <f t="shared" si="57"/>
        <v>55</v>
      </c>
      <c r="H125" s="18">
        <v>1351</v>
      </c>
      <c r="I125" s="4">
        <f t="shared" si="58"/>
        <v>74305</v>
      </c>
    </row>
    <row r="126" spans="2:10" x14ac:dyDescent="0.25">
      <c r="B126" s="8"/>
      <c r="C126" s="9"/>
      <c r="D126" s="10"/>
      <c r="E126" s="11"/>
      <c r="F126" s="11"/>
      <c r="G126" s="10"/>
      <c r="H126" s="19"/>
      <c r="I126" s="10"/>
      <c r="J126" s="31">
        <f>SUM(I123:I125)</f>
        <v>205352</v>
      </c>
    </row>
    <row r="127" spans="2:10" x14ac:dyDescent="0.25">
      <c r="B127" s="3" t="s">
        <v>7</v>
      </c>
      <c r="C127" s="2" t="s">
        <v>13</v>
      </c>
      <c r="D127" s="4">
        <v>37</v>
      </c>
      <c r="E127" s="5">
        <v>0</v>
      </c>
      <c r="F127" s="4">
        <f t="shared" ref="F127" si="59">D127*E127</f>
        <v>0</v>
      </c>
      <c r="G127" s="4">
        <f t="shared" ref="G127" si="60">D127+F127</f>
        <v>37</v>
      </c>
      <c r="H127" s="18">
        <v>4055</v>
      </c>
      <c r="I127" s="4">
        <f>G127*H127</f>
        <v>150035</v>
      </c>
    </row>
    <row r="129" spans="2:10" x14ac:dyDescent="0.25">
      <c r="B129" s="13"/>
      <c r="C129" s="13"/>
      <c r="D129" s="10"/>
      <c r="E129" s="11"/>
      <c r="F129" s="11"/>
      <c r="G129" s="10"/>
      <c r="H129" s="19">
        <f>SUM(H107:H128)</f>
        <v>20268</v>
      </c>
      <c r="I129" s="10">
        <f>SUM(I107:I127)</f>
        <v>971132.8</v>
      </c>
      <c r="J129" s="31">
        <f>SUM(I127)</f>
        <v>150035</v>
      </c>
    </row>
    <row r="131" spans="2:10" x14ac:dyDescent="0.25">
      <c r="H131" s="28" t="s">
        <v>43</v>
      </c>
      <c r="I131" s="27">
        <f>I25+I51+I77+I103+I129</f>
        <v>5467874</v>
      </c>
    </row>
    <row r="132" spans="2:10" x14ac:dyDescent="0.25">
      <c r="H132" s="29" t="s">
        <v>42</v>
      </c>
      <c r="I132" s="26">
        <f>H25+H51+H77+H103+H129</f>
        <v>114129</v>
      </c>
    </row>
  </sheetData>
  <mergeCells count="11">
    <mergeCell ref="K22:M22"/>
    <mergeCell ref="K19:M19"/>
    <mergeCell ref="K21:M21"/>
    <mergeCell ref="O16:P17"/>
    <mergeCell ref="O19:P19"/>
    <mergeCell ref="O20:P20"/>
    <mergeCell ref="O21:P21"/>
    <mergeCell ref="K9:M9"/>
    <mergeCell ref="K16:N17"/>
    <mergeCell ref="K18:M18"/>
    <mergeCell ref="K20:M20"/>
  </mergeCells>
  <conditionalFormatting sqref="E1:F2 E3:E7 E8:F8 E9:E14 E15:F15 E16 E17:F18 E19:E21 E22:F22 E23 E24:F28 E29:E33 E34:F34 E35:E40 E41:F41 E42 E43:F44 E45:E47 E48:F48 E49 E50:F54 E55:E59 E60:F60 E61:E66 E67:F67 E68 E69:F70 E71:E73 E74:F74 E75 E76:F80 E81:E85 E86:F86 E87:E92 E93:F93 E94 E95:F96 E97:E99 E100:F100 E101 E102:F106 E107:E111 E112:F112 E113:E118 E119:F119 E120 E121:F122 E123:E125 E126:F126 E127 E128:F1048576">
    <cfRule type="expression" dxfId="0" priority="1">
      <formula>IF($E:$E&lt;1,"0")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5-Year Temp Svcs Projections</vt:lpstr>
      <vt:lpstr>5-Year Direct Hire Projections</vt:lpstr>
      <vt:lpstr>5-Year Category Totals</vt:lpstr>
      <vt:lpstr>5-Year Projections Plus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Samantha</dc:creator>
  <cp:lastModifiedBy>Taub, Jeremy</cp:lastModifiedBy>
  <dcterms:created xsi:type="dcterms:W3CDTF">2026-01-07T17:53:30Z</dcterms:created>
  <dcterms:modified xsi:type="dcterms:W3CDTF">2026-01-14T14:54:27Z</dcterms:modified>
</cp:coreProperties>
</file>